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4  重新撰写你投森林管理\1 第一次投稿\R code\"/>
    </mc:Choice>
  </mc:AlternateContent>
  <xr:revisionPtr revIDLastSave="0" documentId="13_ncr:1_{D54E7202-22AB-42D9-B0F3-4576A6E4C561}" xr6:coauthVersionLast="47" xr6:coauthVersionMax="47" xr10:uidLastSave="{00000000-0000-0000-0000-000000000000}"/>
  <bookViews>
    <workbookView xWindow="-103" yWindow="-103" windowWidth="22149" windowHeight="13200" activeTab="5" xr2:uid="{A6BFF833-9FEB-49FD-948C-F12B0563EA4D}"/>
  </bookViews>
  <sheets>
    <sheet name="Trophic group" sheetId="6" r:id="rId1"/>
    <sheet name="Suborder" sheetId="4" r:id="rId2"/>
    <sheet name="Superfamily" sheetId="2" r:id="rId3"/>
    <sheet name="Family" sheetId="3" r:id="rId4"/>
    <sheet name="Genus" sheetId="5" r:id="rId5"/>
    <sheet name="Sheet3" sheetId="16" r:id="rId6"/>
  </sheets>
  <definedNames>
    <definedName name="_xlnm._FilterDatabase" localSheetId="0" hidden="1">'Trophic group'!#REF!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5" i="16" l="1"/>
  <c r="P25" i="16"/>
  <c r="O25" i="16"/>
  <c r="Q24" i="16"/>
  <c r="P24" i="16"/>
  <c r="O24" i="16"/>
  <c r="Q23" i="16"/>
  <c r="P23" i="16"/>
  <c r="O23" i="16"/>
  <c r="Q22" i="16"/>
  <c r="P22" i="16"/>
  <c r="O22" i="16"/>
  <c r="Q21" i="16"/>
  <c r="P21" i="16"/>
  <c r="O21" i="16"/>
  <c r="Q20" i="16"/>
  <c r="P20" i="16"/>
  <c r="O20" i="16"/>
  <c r="Q19" i="16"/>
  <c r="P19" i="16"/>
  <c r="O19" i="16"/>
  <c r="Q18" i="16"/>
  <c r="P18" i="16"/>
  <c r="O18" i="16"/>
  <c r="Q17" i="16"/>
  <c r="P17" i="16"/>
  <c r="O17" i="16"/>
  <c r="Q16" i="16"/>
  <c r="P16" i="16"/>
  <c r="O16" i="16"/>
  <c r="Q15" i="16"/>
  <c r="P15" i="16"/>
  <c r="O15" i="16"/>
  <c r="Q14" i="16"/>
  <c r="P14" i="16"/>
  <c r="O14" i="16"/>
  <c r="Q13" i="16"/>
  <c r="P13" i="16"/>
  <c r="O13" i="16"/>
  <c r="Q12" i="16"/>
  <c r="P12" i="16"/>
  <c r="O12" i="16"/>
  <c r="Q11" i="16"/>
  <c r="P11" i="16"/>
  <c r="O11" i="16"/>
  <c r="Q10" i="16"/>
  <c r="P10" i="16"/>
  <c r="O10" i="16"/>
  <c r="Q9" i="16"/>
  <c r="P9" i="16"/>
  <c r="O9" i="16"/>
  <c r="Q8" i="16"/>
  <c r="P8" i="16"/>
  <c r="O8" i="16"/>
  <c r="Q7" i="16"/>
  <c r="P7" i="16"/>
  <c r="O7" i="16"/>
  <c r="Q6" i="16"/>
  <c r="P6" i="16"/>
  <c r="O6" i="16"/>
  <c r="Q5" i="16"/>
  <c r="P5" i="16"/>
  <c r="O5" i="16"/>
  <c r="Q4" i="16"/>
  <c r="P4" i="16"/>
  <c r="O4" i="16"/>
  <c r="Q3" i="16"/>
  <c r="P3" i="16"/>
  <c r="O3" i="16"/>
  <c r="Q2" i="16"/>
  <c r="P2" i="16"/>
  <c r="O2" i="16"/>
  <c r="J7" i="5"/>
  <c r="G15" i="2"/>
  <c r="G53" i="4" l="1"/>
  <c r="H187" i="3" l="1"/>
  <c r="G187" i="3"/>
  <c r="G121" i="2"/>
  <c r="H121" i="2"/>
  <c r="H120" i="2"/>
  <c r="G120" i="2"/>
  <c r="H234" i="3"/>
  <c r="G234" i="3"/>
  <c r="H344" i="5"/>
  <c r="G344" i="5"/>
  <c r="K340" i="5"/>
  <c r="J340" i="5"/>
  <c r="H334" i="5"/>
  <c r="G334" i="5"/>
  <c r="K331" i="5"/>
  <c r="J331" i="5"/>
  <c r="H327" i="5"/>
  <c r="G327" i="5"/>
  <c r="K324" i="5"/>
  <c r="J324" i="5"/>
  <c r="K320" i="5"/>
  <c r="J320" i="5"/>
  <c r="G210" i="3"/>
  <c r="H210" i="3"/>
  <c r="G211" i="3"/>
  <c r="H211" i="3"/>
  <c r="H209" i="3"/>
  <c r="G209" i="3"/>
  <c r="K205" i="3"/>
  <c r="J205" i="3"/>
  <c r="H318" i="5"/>
  <c r="G318" i="5"/>
  <c r="K314" i="5"/>
  <c r="J314" i="5"/>
  <c r="G201" i="3"/>
  <c r="H201" i="3"/>
  <c r="G202" i="3"/>
  <c r="H202" i="3"/>
  <c r="G203" i="3"/>
  <c r="H203" i="3"/>
  <c r="H200" i="3"/>
  <c r="G200" i="3"/>
  <c r="H312" i="5"/>
  <c r="G312" i="5"/>
  <c r="K310" i="5"/>
  <c r="J310" i="5"/>
  <c r="H191" i="3"/>
  <c r="G191" i="3"/>
  <c r="H308" i="5"/>
  <c r="G308" i="5"/>
  <c r="K305" i="5"/>
  <c r="J305" i="5"/>
  <c r="K302" i="5"/>
  <c r="J302" i="5"/>
  <c r="K298" i="5"/>
  <c r="J298" i="5"/>
  <c r="K293" i="5"/>
  <c r="J293" i="5"/>
  <c r="H291" i="5"/>
  <c r="G291" i="5"/>
  <c r="K288" i="5"/>
  <c r="J288" i="5"/>
  <c r="H280" i="5"/>
  <c r="G280" i="5"/>
  <c r="K276" i="5"/>
  <c r="J276" i="5"/>
  <c r="K274" i="5"/>
  <c r="J274" i="5"/>
  <c r="K269" i="5"/>
  <c r="J269" i="5"/>
  <c r="G165" i="3"/>
  <c r="H165" i="3"/>
  <c r="G166" i="3"/>
  <c r="H166" i="3"/>
  <c r="H164" i="3"/>
  <c r="G164" i="3"/>
  <c r="H262" i="5"/>
  <c r="G262" i="5"/>
  <c r="K259" i="5"/>
  <c r="J259" i="5"/>
  <c r="H251" i="5"/>
  <c r="G251" i="5"/>
  <c r="K247" i="5"/>
  <c r="J247" i="5"/>
  <c r="K245" i="5"/>
  <c r="J245" i="5"/>
  <c r="K242" i="5"/>
  <c r="J242" i="5"/>
  <c r="H138" i="3"/>
  <c r="G138" i="3"/>
  <c r="H237" i="5"/>
  <c r="G237" i="5"/>
  <c r="K235" i="5"/>
  <c r="J235" i="5"/>
  <c r="H96" i="2"/>
  <c r="G96" i="2"/>
  <c r="H66" i="2"/>
  <c r="G66" i="2"/>
  <c r="H130" i="3"/>
  <c r="G130" i="3"/>
  <c r="H189" i="5"/>
  <c r="G189" i="5"/>
  <c r="G126" i="3"/>
  <c r="H126" i="3"/>
  <c r="H125" i="3"/>
  <c r="G125" i="3"/>
  <c r="H185" i="5"/>
  <c r="G185" i="5"/>
  <c r="K179" i="5"/>
  <c r="J179" i="5"/>
  <c r="H36" i="2"/>
  <c r="G36" i="2"/>
  <c r="H228" i="5"/>
  <c r="G228" i="5"/>
  <c r="H223" i="5"/>
  <c r="G223" i="5"/>
  <c r="H217" i="5"/>
  <c r="G217" i="5"/>
  <c r="K212" i="5"/>
  <c r="J212" i="5"/>
  <c r="K207" i="5"/>
  <c r="J207" i="5"/>
  <c r="K201" i="5"/>
  <c r="J201" i="5"/>
  <c r="K197" i="5"/>
  <c r="J197" i="5"/>
  <c r="K195" i="5"/>
  <c r="J195" i="5"/>
  <c r="K191" i="5"/>
  <c r="J191" i="5"/>
  <c r="H177" i="5"/>
  <c r="G177" i="5"/>
  <c r="K175" i="5"/>
  <c r="J175" i="5"/>
  <c r="K169" i="5"/>
  <c r="J169" i="5"/>
  <c r="H116" i="3"/>
  <c r="G116" i="3"/>
  <c r="H158" i="5"/>
  <c r="G158" i="5"/>
  <c r="K155" i="5"/>
  <c r="J155" i="5"/>
  <c r="K148" i="5"/>
  <c r="J148" i="5"/>
  <c r="K146" i="5"/>
  <c r="J146" i="5"/>
  <c r="H28" i="2"/>
  <c r="G28" i="2"/>
  <c r="H144" i="5"/>
  <c r="G144" i="5"/>
  <c r="H140" i="5"/>
  <c r="G140" i="5"/>
  <c r="K138" i="5"/>
  <c r="J138" i="5"/>
  <c r="K133" i="5"/>
  <c r="J133" i="5"/>
  <c r="H90" i="3"/>
  <c r="G90" i="3"/>
  <c r="H131" i="5"/>
  <c r="G131" i="5"/>
  <c r="K126" i="5"/>
  <c r="J126" i="5"/>
  <c r="K124" i="5"/>
  <c r="J124" i="5"/>
  <c r="H122" i="5"/>
  <c r="G122" i="5"/>
  <c r="H117" i="5"/>
  <c r="G117" i="5"/>
  <c r="H78" i="3"/>
  <c r="G78" i="3"/>
  <c r="H104" i="5"/>
  <c r="G104" i="5"/>
  <c r="K102" i="5"/>
  <c r="J102" i="5"/>
  <c r="H70" i="3"/>
  <c r="G70" i="3"/>
  <c r="H97" i="5" l="1"/>
  <c r="G97" i="5"/>
  <c r="G81" i="5"/>
  <c r="K94" i="5"/>
  <c r="J94" i="5"/>
  <c r="K88" i="5"/>
  <c r="J88" i="5"/>
  <c r="K86" i="5"/>
  <c r="J86" i="5"/>
  <c r="H81" i="5"/>
  <c r="K71" i="5"/>
  <c r="J71" i="5"/>
  <c r="H69" i="5"/>
  <c r="G69" i="5"/>
  <c r="K66" i="5"/>
  <c r="J66" i="5"/>
  <c r="K62" i="5"/>
  <c r="J62" i="5"/>
  <c r="H49" i="3"/>
  <c r="G49" i="3"/>
  <c r="H57" i="5"/>
  <c r="K55" i="5" s="1"/>
  <c r="G57" i="5"/>
  <c r="J55" i="5" s="1"/>
  <c r="K53" i="5"/>
  <c r="J53" i="5"/>
  <c r="K45" i="5"/>
  <c r="J45" i="5"/>
  <c r="H42" i="5"/>
  <c r="G42" i="5"/>
  <c r="K38" i="5"/>
  <c r="J38" i="5"/>
  <c r="H24" i="2"/>
  <c r="G24" i="2"/>
  <c r="H23" i="3"/>
  <c r="G23" i="3"/>
  <c r="G31" i="5"/>
  <c r="H31" i="5"/>
  <c r="K28" i="5"/>
  <c r="J28" i="5"/>
  <c r="K26" i="5"/>
  <c r="J26" i="5"/>
  <c r="H54" i="4"/>
  <c r="H53" i="4"/>
  <c r="G54" i="4"/>
  <c r="K13" i="3"/>
  <c r="K14" i="3"/>
  <c r="K12" i="3"/>
  <c r="J14" i="3"/>
  <c r="J13" i="3"/>
  <c r="J12" i="3"/>
  <c r="H18" i="5"/>
  <c r="G18" i="5"/>
  <c r="H15" i="2"/>
  <c r="H19" i="4"/>
  <c r="G19" i="4"/>
  <c r="H7" i="3"/>
  <c r="G7" i="3"/>
  <c r="K4" i="3"/>
  <c r="J4" i="3"/>
  <c r="H13" i="5"/>
  <c r="G13" i="5"/>
  <c r="K7" i="5"/>
</calcChain>
</file>

<file path=xl/sharedStrings.xml><?xml version="1.0" encoding="utf-8"?>
<sst xmlns="http://schemas.openxmlformats.org/spreadsheetml/2006/main" count="4427" uniqueCount="614">
  <si>
    <t>Suborder</t>
    <phoneticPr fontId="2" type="noConversion"/>
  </si>
  <si>
    <t>Superfamily</t>
  </si>
  <si>
    <t>Family</t>
    <phoneticPr fontId="2" type="noConversion"/>
  </si>
  <si>
    <t>Genus</t>
    <phoneticPr fontId="2" type="noConversion"/>
  </si>
  <si>
    <t>trophic group</t>
    <phoneticPr fontId="2" type="noConversion"/>
  </si>
  <si>
    <t>Enarthronotides</t>
  </si>
  <si>
    <t>fungi</t>
  </si>
  <si>
    <t>Hypochthonioidea</t>
  </si>
  <si>
    <t xml:space="preserve">pred/scav </t>
  </si>
  <si>
    <t>Hypochthonius luteus</t>
  </si>
  <si>
    <t>Maraun et al. (2011)</t>
  </si>
  <si>
    <t>Hypochthonius rufulus</t>
  </si>
  <si>
    <t>Lehmitz &amp; Maraun (2016)</t>
  </si>
  <si>
    <t>Magilton et al. (2019)</t>
  </si>
  <si>
    <t>Pollierer et al. (2009)</t>
  </si>
  <si>
    <t>Lu et al. (2022, unpublished)</t>
  </si>
  <si>
    <t>Fischer et al. (2010)</t>
  </si>
  <si>
    <t>Eniochthonius minutissimus</t>
  </si>
  <si>
    <t>Schneider et al. (2004)</t>
  </si>
  <si>
    <t>decomp</t>
  </si>
  <si>
    <t>Meristacarus porcula</t>
  </si>
  <si>
    <t>Meristacarus sundensis</t>
  </si>
  <si>
    <t>Tsurikov et al. (2019)</t>
  </si>
  <si>
    <t>Family</t>
  </si>
  <si>
    <t>Suborder</t>
  </si>
  <si>
    <t>Eniochthoniidae</t>
  </si>
  <si>
    <t>Eniochthonius</t>
  </si>
  <si>
    <t>Hypochthoniidae</t>
  </si>
  <si>
    <t>Eohypochthonius</t>
  </si>
  <si>
    <t>Eohypochthonius salicifolius</t>
  </si>
  <si>
    <t>Krause et al. (2021), rain forest</t>
  </si>
  <si>
    <t>Hypochthonius</t>
  </si>
  <si>
    <t>Malacoangelia</t>
  </si>
  <si>
    <t>Malacoangelia remigera remigera</t>
  </si>
  <si>
    <t>Genus</t>
  </si>
  <si>
    <t>species</t>
  </si>
  <si>
    <t>Reference</t>
  </si>
  <si>
    <t>Brachychthonioidea</t>
  </si>
  <si>
    <t>Lohmannioidea</t>
  </si>
  <si>
    <t>Lohmanniidae</t>
  </si>
  <si>
    <t>Meristacarus</t>
  </si>
  <si>
    <t xml:space="preserve">Meristacarus nov sp </t>
  </si>
  <si>
    <t xml:space="preserve">Trophic group </t>
    <phoneticPr fontId="2" type="noConversion"/>
  </si>
  <si>
    <t>(1) Enarthronotides</t>
    <phoneticPr fontId="2" type="noConversion"/>
  </si>
  <si>
    <t>(1) Hypochthonioidea</t>
    <phoneticPr fontId="2" type="noConversion"/>
  </si>
  <si>
    <t>(1) Mesoplophoridae</t>
    <phoneticPr fontId="2" type="noConversion"/>
  </si>
  <si>
    <t>(1) Archoplophora</t>
    <phoneticPr fontId="2" type="noConversion"/>
  </si>
  <si>
    <t>(2) Hypochthoniidae</t>
    <phoneticPr fontId="2" type="noConversion"/>
  </si>
  <si>
    <t>(2) Eohypochthonius</t>
    <phoneticPr fontId="2" type="noConversion"/>
  </si>
  <si>
    <t>Mean_D13C</t>
    <phoneticPr fontId="2" type="noConversion"/>
  </si>
  <si>
    <t>Mean_D15N</t>
    <phoneticPr fontId="2" type="noConversion"/>
  </si>
  <si>
    <t>(3) Hypochthonius</t>
    <phoneticPr fontId="2" type="noConversion"/>
  </si>
  <si>
    <t>(3) Eniochthoniidae</t>
    <phoneticPr fontId="2" type="noConversion"/>
  </si>
  <si>
    <t>(2) Protoplophoroidea</t>
    <phoneticPr fontId="2" type="noConversion"/>
  </si>
  <si>
    <t>(4) Cosmochthoniidae</t>
    <phoneticPr fontId="2" type="noConversion"/>
  </si>
  <si>
    <t>(3) Lohmannioidea</t>
    <phoneticPr fontId="2" type="noConversion"/>
  </si>
  <si>
    <t>(5) Lohmanniidae</t>
  </si>
  <si>
    <t>(5) Lohmanniidae</t>
    <phoneticPr fontId="2" type="noConversion"/>
  </si>
  <si>
    <t>Mixonomatides</t>
  </si>
  <si>
    <t>(2) Mixonomatides</t>
    <phoneticPr fontId="2" type="noConversion"/>
  </si>
  <si>
    <t>(4) Eulohmannioidea</t>
    <phoneticPr fontId="2" type="noConversion"/>
  </si>
  <si>
    <t>(6) Eulohmanniidae</t>
    <phoneticPr fontId="2" type="noConversion"/>
  </si>
  <si>
    <t>Epilohmannioidea</t>
  </si>
  <si>
    <t>Epilohmanniidae</t>
  </si>
  <si>
    <t>Epilohmannia</t>
  </si>
  <si>
    <t>Epilohmannia cylindrica</t>
  </si>
  <si>
    <t>Maaß et al. (2015)</t>
  </si>
  <si>
    <t>Phthiracaroidea</t>
  </si>
  <si>
    <t>Phthiracaridae</t>
  </si>
  <si>
    <t>Hoplophthiracarus</t>
  </si>
  <si>
    <t>Hoplophthiracarus illinoisensis</t>
  </si>
  <si>
    <t>Euphthiracaroidea</t>
  </si>
  <si>
    <t>Euphthiracaridae</t>
  </si>
  <si>
    <t>Mesotritia</t>
  </si>
  <si>
    <t>Mesotritia nuda</t>
  </si>
  <si>
    <t>Maraun et al. (2014)</t>
  </si>
  <si>
    <t>Microtritia</t>
  </si>
  <si>
    <t>Microtritia minima</t>
  </si>
  <si>
    <t>Phthiracarus</t>
  </si>
  <si>
    <t>Phthiracarus anonymus</t>
  </si>
  <si>
    <t>Phthiracarus boresetosus</t>
  </si>
  <si>
    <t>Phthiracarus crinitus</t>
  </si>
  <si>
    <t>lichen</t>
  </si>
  <si>
    <t>Phthiracarus italicus</t>
  </si>
  <si>
    <t>Phthiracarus laevigatus</t>
  </si>
  <si>
    <t>Phthiracarus sp.</t>
  </si>
  <si>
    <t>Fischer et al. (2014), 2050 m</t>
  </si>
  <si>
    <t>Nico Treibert (2020, unpublished), Solling</t>
  </si>
  <si>
    <t>Nico Treibert (2020, unpublished), Göttinger Wald</t>
  </si>
  <si>
    <t>Rhysotritia</t>
  </si>
  <si>
    <t>Rhysotritia ardua</t>
  </si>
  <si>
    <t>Rhysotritia duplicata</t>
  </si>
  <si>
    <t>Steganacarus</t>
  </si>
  <si>
    <t>Steganacarus anomalus</t>
  </si>
  <si>
    <t>Corral-Hernández et al. (2015)</t>
  </si>
  <si>
    <t>Steganacarus magnus</t>
  </si>
  <si>
    <t>Melguizo-Ruiz et al. (2017)</t>
  </si>
  <si>
    <t>Steganacarus ortizi</t>
  </si>
  <si>
    <t>Steganacarus spinosus</t>
  </si>
  <si>
    <t>Steganacarus striculus</t>
  </si>
  <si>
    <t>Atropacarus</t>
  </si>
  <si>
    <t>(5) Perlohmannioidae</t>
    <phoneticPr fontId="2" type="noConversion"/>
  </si>
  <si>
    <t>(7) Perlohmanniidae</t>
    <phoneticPr fontId="2" type="noConversion"/>
  </si>
  <si>
    <t>(6) Epilohmannioidea</t>
    <phoneticPr fontId="2" type="noConversion"/>
  </si>
  <si>
    <t>(8) Epilohmanniidae</t>
    <phoneticPr fontId="2" type="noConversion"/>
  </si>
  <si>
    <t>(7) Euphthiracaroidea</t>
    <phoneticPr fontId="2" type="noConversion"/>
  </si>
  <si>
    <t>(9) Euphthiracaridae</t>
    <phoneticPr fontId="2" type="noConversion"/>
  </si>
  <si>
    <t>(8) Phthiracaroidea</t>
    <phoneticPr fontId="2" type="noConversion"/>
  </si>
  <si>
    <t>(11) Phthiracaridae</t>
    <phoneticPr fontId="2" type="noConversion"/>
  </si>
  <si>
    <t>Nothrina</t>
  </si>
  <si>
    <t>Crotonioidea</t>
  </si>
  <si>
    <t>(3) Nothrina</t>
    <phoneticPr fontId="2" type="noConversion"/>
  </si>
  <si>
    <t>(9) Crotonioidea</t>
    <phoneticPr fontId="2" type="noConversion"/>
  </si>
  <si>
    <t>(12) Camisiidae</t>
    <phoneticPr fontId="2" type="noConversion"/>
  </si>
  <si>
    <t>Camisiidae_Crotoniidae</t>
  </si>
  <si>
    <t>Camisia</t>
  </si>
  <si>
    <t>Camisia biurus</t>
  </si>
  <si>
    <t xml:space="preserve">Erdmann et al. (2007) </t>
  </si>
  <si>
    <t>Camisia biverrucata</t>
  </si>
  <si>
    <t>Camisia horrida</t>
  </si>
  <si>
    <t>Fischer et al. (2014), 2900 m</t>
  </si>
  <si>
    <t>Camisia segnis</t>
  </si>
  <si>
    <t>Camisia spinifer</t>
  </si>
  <si>
    <t>Fischer et al. (2014), 2300 m</t>
  </si>
  <si>
    <t>Platynothrus</t>
  </si>
  <si>
    <t>Platynothrus peltifer</t>
  </si>
  <si>
    <t xml:space="preserve">Bluhm et al. (2015) </t>
  </si>
  <si>
    <t>Kudrin et al. (2015)</t>
  </si>
  <si>
    <t>Heminothrus</t>
  </si>
  <si>
    <t>Heminothrus targionii</t>
  </si>
  <si>
    <t>(13) Nothridae</t>
    <phoneticPr fontId="2" type="noConversion"/>
  </si>
  <si>
    <t>Nothridae</t>
  </si>
  <si>
    <t>Nothrus</t>
  </si>
  <si>
    <t>Nothrus borussicus</t>
  </si>
  <si>
    <t>Nothrus palustris</t>
  </si>
  <si>
    <t>Nothrus pratensis</t>
  </si>
  <si>
    <t>Nothrus silvestris</t>
  </si>
  <si>
    <t>(14) Crotoniidae</t>
    <phoneticPr fontId="2" type="noConversion"/>
  </si>
  <si>
    <t>Crotonia</t>
  </si>
  <si>
    <t>Crotonia sp.</t>
  </si>
  <si>
    <t>Perdomo et al. (2012)</t>
  </si>
  <si>
    <t>(15) Trhypochthoniidae</t>
    <phoneticPr fontId="2" type="noConversion"/>
  </si>
  <si>
    <t>Archegozetes</t>
  </si>
  <si>
    <t>Trhypochthoniidae</t>
  </si>
  <si>
    <t xml:space="preserve">Archegozetes longisetosus </t>
  </si>
  <si>
    <t>mosses</t>
  </si>
  <si>
    <t>Krause et al. (2021), oil palm plantation</t>
  </si>
  <si>
    <t>Allonothrus</t>
  </si>
  <si>
    <t>Allonothrus russeolus</t>
  </si>
  <si>
    <t>Afronothrus</t>
  </si>
  <si>
    <t xml:space="preserve">Afronothrus nov sp </t>
  </si>
  <si>
    <t>Trhypochthoniellus</t>
  </si>
  <si>
    <t>Trhypochthoniellus longisetosus</t>
  </si>
  <si>
    <t>Mainothrus</t>
  </si>
  <si>
    <t>Mainothrus badius</t>
  </si>
  <si>
    <t>(16) Malaconothridae</t>
    <phoneticPr fontId="2" type="noConversion"/>
  </si>
  <si>
    <t>(10)Synichotritiidae</t>
    <phoneticPr fontId="2" type="noConversion"/>
  </si>
  <si>
    <t>Malaconothridae</t>
  </si>
  <si>
    <t>Malaconothrus</t>
  </si>
  <si>
    <t>Malaconothrus monodactylus</t>
  </si>
  <si>
    <t>Trimalaconothrus</t>
  </si>
  <si>
    <t>Trimalaconothrus foveolatus</t>
  </si>
  <si>
    <t>Trimalaconothrus maior</t>
  </si>
  <si>
    <t>Trimalaconothrus sculptus</t>
  </si>
  <si>
    <t>(17) Nanhermanniidae</t>
    <phoneticPr fontId="2" type="noConversion"/>
  </si>
  <si>
    <t>Nanhermanniidae</t>
  </si>
  <si>
    <t>Nanhermannia</t>
  </si>
  <si>
    <t>Nanhermannia coronata</t>
  </si>
  <si>
    <t>Nanhermannia nana</t>
  </si>
  <si>
    <t>Nanhermannia sellnicki</t>
  </si>
  <si>
    <t>Dendrohermannia</t>
  </si>
  <si>
    <t>Dendrohermannia monstruosa</t>
  </si>
  <si>
    <t>Masthermannia</t>
  </si>
  <si>
    <t>Masthermannia mammillaris</t>
  </si>
  <si>
    <t>Hermanniodea</t>
  </si>
  <si>
    <t>(10) Hermanniodea</t>
    <phoneticPr fontId="2" type="noConversion"/>
  </si>
  <si>
    <t>(18) Hermanniidae</t>
    <phoneticPr fontId="2" type="noConversion"/>
  </si>
  <si>
    <t>Hermanniidae</t>
  </si>
  <si>
    <t>Hermannia</t>
  </si>
  <si>
    <t>Hermannia gibba</t>
  </si>
  <si>
    <t>Nae et al. (2021)</t>
  </si>
  <si>
    <t>Hermannia pulchella</t>
  </si>
  <si>
    <t>Haynert et al. (2017)</t>
  </si>
  <si>
    <t>marine algae</t>
  </si>
  <si>
    <t>Hermannia spec</t>
  </si>
  <si>
    <t>Brachypylina</t>
  </si>
  <si>
    <t>Hermannielloidea</t>
  </si>
  <si>
    <t>Hermanniellidae</t>
  </si>
  <si>
    <t>Hermanniella</t>
  </si>
  <si>
    <t>Hermanniella dolosa</t>
  </si>
  <si>
    <t>Hermanniella septentrionalis</t>
  </si>
  <si>
    <t>(11) Hermannielloidea</t>
    <phoneticPr fontId="2" type="noConversion"/>
  </si>
  <si>
    <t>(19) Hermanniellidae</t>
    <phoneticPr fontId="2" type="noConversion"/>
  </si>
  <si>
    <t>(20) Plasmobatidae</t>
    <phoneticPr fontId="2" type="noConversion"/>
  </si>
  <si>
    <t>(4) Brachypylina</t>
    <phoneticPr fontId="2" type="noConversion"/>
  </si>
  <si>
    <t>Damaeoidea</t>
  </si>
  <si>
    <t>(12) Damaeoidea</t>
    <phoneticPr fontId="2" type="noConversion"/>
  </si>
  <si>
    <t>(21) Damaeidae</t>
    <phoneticPr fontId="2" type="noConversion"/>
  </si>
  <si>
    <t>Damaeidae</t>
  </si>
  <si>
    <t>Damaeus</t>
  </si>
  <si>
    <t>Damaeus auritus</t>
  </si>
  <si>
    <t>Damaeus clavipes</t>
  </si>
  <si>
    <t>Erdmann et al. (2007) et al. (2007)</t>
  </si>
  <si>
    <t>Damaeus firmus</t>
  </si>
  <si>
    <t>Damaeus gracilipes</t>
  </si>
  <si>
    <t>Damaeus maximus</t>
  </si>
  <si>
    <t>Damaeus onustus</t>
  </si>
  <si>
    <t>Damaeus raparius</t>
  </si>
  <si>
    <t>Kunstidamaeus</t>
  </si>
  <si>
    <t>Kunstidamaeus diversipilis</t>
  </si>
  <si>
    <t>Fischer et al. (2014), 2600 m</t>
  </si>
  <si>
    <t>Metabelba</t>
  </si>
  <si>
    <t>Metabelba pulverosa</t>
  </si>
  <si>
    <t>Metabelba sphagni</t>
  </si>
  <si>
    <t>Porobelba</t>
  </si>
  <si>
    <t>Porobelba spinosa</t>
  </si>
  <si>
    <t>Spatiodamaeus</t>
  </si>
  <si>
    <t>Spatiodamaeus verticillipes</t>
  </si>
  <si>
    <t>Erdmann et al. (2007)</t>
  </si>
  <si>
    <t>Ameroidea</t>
  </si>
  <si>
    <t>(13) Ameroidea</t>
    <phoneticPr fontId="2" type="noConversion"/>
  </si>
  <si>
    <t>(22) Eremulidae</t>
    <phoneticPr fontId="2" type="noConversion"/>
  </si>
  <si>
    <t>Eremulus</t>
  </si>
  <si>
    <t>Eremulidae</t>
  </si>
  <si>
    <t>Eremulus baliensis</t>
  </si>
  <si>
    <t>Eremobelba</t>
  </si>
  <si>
    <t>(23) Eremobelbidae</t>
    <phoneticPr fontId="2" type="noConversion"/>
  </si>
  <si>
    <t>Eremobelbidae</t>
  </si>
  <si>
    <t>Eremobelba comtae</t>
  </si>
  <si>
    <t>Gustavioidea</t>
  </si>
  <si>
    <t>Liacaridae</t>
  </si>
  <si>
    <t>Liacarus</t>
  </si>
  <si>
    <t>Liacarus coracinus</t>
  </si>
  <si>
    <t>Liacarus xylariae</t>
  </si>
  <si>
    <t>Carabodoidea</t>
  </si>
  <si>
    <t>Carabodidae</t>
  </si>
  <si>
    <t>Carabodes</t>
  </si>
  <si>
    <t>Carabodes aereolatus</t>
  </si>
  <si>
    <t>Magilton et al. (2019) et al. (2019)</t>
  </si>
  <si>
    <t>Carabodes coriaceus</t>
  </si>
  <si>
    <t>Carabodes femoralis</t>
  </si>
  <si>
    <t>Carabodes labyrinthicus</t>
  </si>
  <si>
    <t>Carabodes marginatus</t>
  </si>
  <si>
    <t>Carabodes ornatus</t>
  </si>
  <si>
    <t>Carabodes reticulatus</t>
  </si>
  <si>
    <t>Carabodes rugosior</t>
  </si>
  <si>
    <t xml:space="preserve">Carabodes schatzi </t>
  </si>
  <si>
    <t xml:space="preserve">Carabodes willmanni </t>
  </si>
  <si>
    <t>Otocepheoidea</t>
  </si>
  <si>
    <t>Tetracondylidae</t>
  </si>
  <si>
    <t>Dolicheremaeus</t>
  </si>
  <si>
    <t xml:space="preserve">Dolicheremaeus bugiamapensis </t>
  </si>
  <si>
    <t xml:space="preserve">Dolicheremaeus dorni </t>
  </si>
  <si>
    <t xml:space="preserve">Dolicheremaeus nov sp </t>
  </si>
  <si>
    <t>Dolicheremaeus sumatranus</t>
  </si>
  <si>
    <t>Otocepheidae</t>
  </si>
  <si>
    <t>Otocepheus</t>
  </si>
  <si>
    <t xml:space="preserve">Otocepheus duplicornutus </t>
  </si>
  <si>
    <t>Otocepheus spatulatus</t>
  </si>
  <si>
    <t xml:space="preserve">Otocepheus vietnamicus </t>
  </si>
  <si>
    <t>(24) Damaeolidae</t>
    <phoneticPr fontId="2" type="noConversion"/>
  </si>
  <si>
    <t>Ameridae</t>
  </si>
  <si>
    <t>Amerus</t>
  </si>
  <si>
    <t>Amerus polonicus</t>
  </si>
  <si>
    <t>Calaemereidae</t>
  </si>
  <si>
    <t>Caleremaeus</t>
  </si>
  <si>
    <t>Caleremaeus monilipes</t>
  </si>
  <si>
    <t>(25) Ctenobelbidae</t>
    <phoneticPr fontId="2" type="noConversion"/>
  </si>
  <si>
    <t>Eremaeoidea</t>
  </si>
  <si>
    <t>(14) Eremaeoidea</t>
    <phoneticPr fontId="2" type="noConversion"/>
  </si>
  <si>
    <t>(26) Eremaeidae</t>
    <phoneticPr fontId="2" type="noConversion"/>
  </si>
  <si>
    <t>Eremaeidae</t>
  </si>
  <si>
    <t>Eremaeus</t>
  </si>
  <si>
    <t>Eremaeus cordiformis</t>
  </si>
  <si>
    <t>(15) Gustavioidea</t>
    <phoneticPr fontId="2" type="noConversion"/>
  </si>
  <si>
    <t>(27) Liacaridae</t>
    <phoneticPr fontId="2" type="noConversion"/>
  </si>
  <si>
    <t>(28) Ceratoppiidae</t>
    <phoneticPr fontId="2" type="noConversion"/>
  </si>
  <si>
    <t>Ceratoppiidae</t>
  </si>
  <si>
    <t>Ceratoppia</t>
  </si>
  <si>
    <t>Ceratoppia bipilis</t>
  </si>
  <si>
    <t>Ceratoppia quadridentata</t>
  </si>
  <si>
    <t>Pseudoceratoppia</t>
  </si>
  <si>
    <t>Pseudoceratoppia sp.</t>
  </si>
  <si>
    <t>(29) Astegistidae</t>
    <phoneticPr fontId="2" type="noConversion"/>
  </si>
  <si>
    <t>Astegistidae</t>
  </si>
  <si>
    <t>Cultroribula</t>
  </si>
  <si>
    <t xml:space="preserve">Cultroribula bicultrata </t>
  </si>
  <si>
    <t>Cultroribula lata</t>
  </si>
  <si>
    <t>Cultroribula sp.</t>
  </si>
  <si>
    <t>(30) Gustaviidae</t>
    <phoneticPr fontId="2" type="noConversion"/>
  </si>
  <si>
    <t>Adoristes</t>
  </si>
  <si>
    <t>Adoristes ovatus</t>
  </si>
  <si>
    <t>Dorycranosus</t>
  </si>
  <si>
    <t>Dorycranosus acutus</t>
  </si>
  <si>
    <t>Tenuialidae</t>
  </si>
  <si>
    <t>Hafenrefferia</t>
  </si>
  <si>
    <t xml:space="preserve">Hafenrefferia gilvipes </t>
  </si>
  <si>
    <t>Xenillidae</t>
  </si>
  <si>
    <t>Xenillus</t>
  </si>
  <si>
    <t>Xenillus clypeator</t>
  </si>
  <si>
    <t>Xenillus sp.</t>
  </si>
  <si>
    <t>Xenillus tegeocranus</t>
  </si>
  <si>
    <t>(16) Carabodoidea</t>
    <phoneticPr fontId="2" type="noConversion"/>
  </si>
  <si>
    <t>(31) Carabodidae</t>
    <phoneticPr fontId="2" type="noConversion"/>
  </si>
  <si>
    <t>(32) Nippobodidae</t>
    <phoneticPr fontId="2" type="noConversion"/>
  </si>
  <si>
    <t>Pasocepheus</t>
  </si>
  <si>
    <t>Pasocepheus bako</t>
  </si>
  <si>
    <t>Yoshiobodes</t>
  </si>
  <si>
    <t>Yoshiobodes irmayi</t>
  </si>
  <si>
    <t>(17) Otocepheoidea</t>
    <phoneticPr fontId="2" type="noConversion"/>
  </si>
  <si>
    <t>(33) Tetracondylidae</t>
    <phoneticPr fontId="2" type="noConversion"/>
  </si>
  <si>
    <t>(34) Otocepheidae</t>
    <phoneticPr fontId="2" type="noConversion"/>
  </si>
  <si>
    <t>Oppioidea</t>
  </si>
  <si>
    <t>(18) Oppioidea</t>
    <phoneticPr fontId="2" type="noConversion"/>
  </si>
  <si>
    <t>(35) Suctobelbidae</t>
    <phoneticPr fontId="2" type="noConversion"/>
  </si>
  <si>
    <t>Suctobelbidae</t>
  </si>
  <si>
    <t>Allosuctobelba</t>
  </si>
  <si>
    <t>Allosuctobelba grandis</t>
  </si>
  <si>
    <t>Suctobelbella</t>
    <phoneticPr fontId="3" type="noConversion"/>
  </si>
  <si>
    <t>Suctobelbella cf reticulata</t>
  </si>
  <si>
    <t>Suctobelbella</t>
  </si>
  <si>
    <t>Suctobelbella sarekensis</t>
  </si>
  <si>
    <t>Suctobelbella spp</t>
  </si>
  <si>
    <t>Oppia</t>
  </si>
  <si>
    <t>(36) Oppiidae</t>
  </si>
  <si>
    <t>(36) Oppiidae</t>
    <phoneticPr fontId="2" type="noConversion"/>
  </si>
  <si>
    <t>Oppiidae</t>
  </si>
  <si>
    <t>Oppia denticulata</t>
  </si>
  <si>
    <t>Oppiella</t>
  </si>
  <si>
    <t>Oppiella nova</t>
  </si>
  <si>
    <t>Oppiella propinqua</t>
  </si>
  <si>
    <t>Oppiella spec</t>
  </si>
  <si>
    <t>Oppiella subpectinata</t>
  </si>
  <si>
    <t>Oppiella translamellata</t>
  </si>
  <si>
    <t>Ramusella</t>
  </si>
  <si>
    <t>Ramusella clavipectinata</t>
  </si>
  <si>
    <t>Arcoppia</t>
  </si>
  <si>
    <t>Arcoppia vittata</t>
  </si>
  <si>
    <t>Microppia</t>
  </si>
  <si>
    <t>Microppia minus</t>
  </si>
  <si>
    <t>Multioppia</t>
  </si>
  <si>
    <t>Multioppia laniseta</t>
  </si>
  <si>
    <t>Dissorhina</t>
  </si>
  <si>
    <t xml:space="preserve">Dissorhina ornata </t>
  </si>
  <si>
    <t>Gigantoppia</t>
  </si>
  <si>
    <t xml:space="preserve">Gigantoppia zryanini </t>
  </si>
  <si>
    <t>Graptoppia</t>
  </si>
  <si>
    <t xml:space="preserve">Graptoppia sp nov </t>
  </si>
  <si>
    <t>Neoamerioppia</t>
  </si>
  <si>
    <t>Neoamerioppia longiclava</t>
  </si>
  <si>
    <t>Neotrichoppia</t>
  </si>
  <si>
    <t>Neotrichoppia variabilis</t>
  </si>
  <si>
    <t>Quadroppia</t>
  </si>
  <si>
    <t>Quadroppia hammerae</t>
  </si>
  <si>
    <t>Tectocepheoidea</t>
  </si>
  <si>
    <t>(19) Tectocepheoidea</t>
    <phoneticPr fontId="2" type="noConversion"/>
  </si>
  <si>
    <t>Tectocepheidae</t>
  </si>
  <si>
    <t>(37) Tectocepheidae</t>
    <phoneticPr fontId="2" type="noConversion"/>
  </si>
  <si>
    <t>Tectocepheus</t>
  </si>
  <si>
    <t>Tectocepheus alatus</t>
  </si>
  <si>
    <t>Tectocepheus minor</t>
  </si>
  <si>
    <t>Tectocepheus sarekensis</t>
  </si>
  <si>
    <t>Tectocepheus spec</t>
  </si>
  <si>
    <t>Tectocepheus velatus</t>
  </si>
  <si>
    <t>Licneremaeoidea</t>
  </si>
  <si>
    <t>(20) Licneremaeoidea</t>
    <phoneticPr fontId="2" type="noConversion"/>
  </si>
  <si>
    <t>(38) Passalozetidae</t>
    <phoneticPr fontId="2" type="noConversion"/>
  </si>
  <si>
    <t>Passalozetidae</t>
  </si>
  <si>
    <t>Scutovertex</t>
  </si>
  <si>
    <t>Scutovertex sculptus</t>
  </si>
  <si>
    <t>Oripodoidea</t>
  </si>
  <si>
    <t>(21) Oripodoidea</t>
    <phoneticPr fontId="2" type="noConversion"/>
  </si>
  <si>
    <t>(39) Parakalummidae</t>
    <phoneticPr fontId="2" type="noConversion"/>
  </si>
  <si>
    <t>Galumnoidea</t>
  </si>
  <si>
    <t>Parakalummidae</t>
  </si>
  <si>
    <t>Neoribates</t>
  </si>
  <si>
    <t xml:space="preserve">Neoribates jacoti </t>
  </si>
  <si>
    <t>(40) Oribatulidae</t>
    <phoneticPr fontId="2" type="noConversion"/>
  </si>
  <si>
    <t>Oribatulidae</t>
  </si>
  <si>
    <t>Phauloppia</t>
  </si>
  <si>
    <t xml:space="preserve">Phauloppia lucorum </t>
  </si>
  <si>
    <t>Phauloppia rauschenensis</t>
  </si>
  <si>
    <t>(41) Scheloribatidae</t>
    <phoneticPr fontId="2" type="noConversion"/>
  </si>
  <si>
    <t>Scheloribatidae</t>
  </si>
  <si>
    <t>Scheloribates</t>
  </si>
  <si>
    <t>Scheloribates ascendens</t>
  </si>
  <si>
    <t>Scheloribates circumcarinatus</t>
  </si>
  <si>
    <t>Scheloribates fimbriatus javensis</t>
  </si>
  <si>
    <t>Scheloribates initialis</t>
  </si>
  <si>
    <t>Scheloribates laevigatus</t>
  </si>
  <si>
    <t>Scheloribates latipes</t>
  </si>
  <si>
    <t>Scheloribates pallidulus</t>
  </si>
  <si>
    <t xml:space="preserve">Scheloribates praeincisus </t>
  </si>
  <si>
    <t>Scheloribates quintus</t>
  </si>
  <si>
    <t>Bischeloribates</t>
  </si>
  <si>
    <t>Bischeloribates mahunkai</t>
  </si>
  <si>
    <t>(42) Mochlozetidae</t>
    <phoneticPr fontId="2" type="noConversion"/>
  </si>
  <si>
    <t>Mochlozetidae</t>
  </si>
  <si>
    <t>Unguizetes</t>
  </si>
  <si>
    <t xml:space="preserve">Unguizetes cattiensis </t>
  </si>
  <si>
    <t xml:space="preserve">Unguizetes sphaerula </t>
  </si>
  <si>
    <t>(43) Haplozetidae</t>
  </si>
  <si>
    <t>(43) Haplozetidae</t>
    <phoneticPr fontId="2" type="noConversion"/>
  </si>
  <si>
    <t>Haplozetidae</t>
  </si>
  <si>
    <t>Rostrozetes</t>
  </si>
  <si>
    <t xml:space="preserve">Rostrozetes sp </t>
  </si>
  <si>
    <t>Indoribates</t>
  </si>
  <si>
    <t xml:space="preserve">Indoribates nov sp </t>
  </si>
  <si>
    <t>Javacarus</t>
  </si>
  <si>
    <t>Javacarus jocelynae</t>
  </si>
  <si>
    <t>Magyaria</t>
  </si>
  <si>
    <t xml:space="preserve">Magyaria nov sp </t>
  </si>
  <si>
    <t>Trachyoribates</t>
  </si>
  <si>
    <t>Trachyoribates shibai</t>
  </si>
  <si>
    <t>Protoribatidae</t>
  </si>
  <si>
    <t>(44) Protoribatidae</t>
  </si>
  <si>
    <t>(44) Protoribatidae</t>
    <phoneticPr fontId="2" type="noConversion"/>
  </si>
  <si>
    <t>Protoribates</t>
  </si>
  <si>
    <t>Protoribates capucinus</t>
  </si>
  <si>
    <t>Protoribates paracapucinus</t>
  </si>
  <si>
    <t>Protoribates prolamellatus</t>
  </si>
  <si>
    <t>Ceratozetoidea</t>
  </si>
  <si>
    <t>(22) Ceratozetoidea</t>
    <phoneticPr fontId="2" type="noConversion"/>
  </si>
  <si>
    <t>(45) Ceratozetidae</t>
    <phoneticPr fontId="2" type="noConversion"/>
  </si>
  <si>
    <t>Ceratozetidae</t>
  </si>
  <si>
    <t>Ceratozetes</t>
  </si>
  <si>
    <t>Ceratozetes gracilis</t>
  </si>
  <si>
    <t>Ceratozetes minimus</t>
  </si>
  <si>
    <t>Ceratozetes minutissimus</t>
  </si>
  <si>
    <t>Ceratozetes peritus</t>
  </si>
  <si>
    <t>Ceratozetes sellnicki</t>
  </si>
  <si>
    <t>(23) Galumnoidea</t>
    <phoneticPr fontId="2" type="noConversion"/>
  </si>
  <si>
    <t>Galumnidae</t>
  </si>
  <si>
    <t>(46) Galumnidae</t>
    <phoneticPr fontId="2" type="noConversion"/>
  </si>
  <si>
    <t>Galumna</t>
  </si>
  <si>
    <t>Galumna corpuzrarosae</t>
  </si>
  <si>
    <t>Galumna flabellifera</t>
  </si>
  <si>
    <t>Galumna lanceata</t>
  </si>
  <si>
    <t>Galumna obvia</t>
  </si>
  <si>
    <t>Pergalumna</t>
  </si>
  <si>
    <t>Pergalumna altera</t>
  </si>
  <si>
    <t xml:space="preserve">Pergalumna cattienica </t>
  </si>
  <si>
    <t>Pergalumna cf annulata</t>
  </si>
  <si>
    <t xml:space="preserve">Pergalumna indistincta </t>
  </si>
  <si>
    <t>Pergalumna nervosa</t>
  </si>
  <si>
    <t>Pergalumna paraindistincta</t>
  </si>
  <si>
    <t>Acrogalumna</t>
  </si>
  <si>
    <t>Acrogalumna longipluma</t>
  </si>
  <si>
    <t>Atypicogalumna</t>
  </si>
  <si>
    <t>Atypicogalumna corpuzrarosae</t>
  </si>
  <si>
    <t>Pilogalumna</t>
  </si>
  <si>
    <t>Pilogalumna tenuiclava</t>
  </si>
  <si>
    <t>(47) Galumnellidae</t>
    <phoneticPr fontId="2" type="noConversion"/>
  </si>
  <si>
    <t>Hermanniodea</t>
    <phoneticPr fontId="2" type="noConversion"/>
  </si>
  <si>
    <t>(10) Synichotritiidae</t>
    <phoneticPr fontId="2" type="noConversion"/>
  </si>
  <si>
    <t>Determined at the superfamily level (Hypochthonioidea)</t>
    <phoneticPr fontId="2" type="noConversion"/>
  </si>
  <si>
    <t>Determined at the family level (Eniochthoniidae)</t>
    <phoneticPr fontId="2" type="noConversion"/>
  </si>
  <si>
    <t>Determined at the suborder level (Enarthronotides)</t>
    <phoneticPr fontId="2" type="noConversion"/>
  </si>
  <si>
    <t>Determined at the family level (Lohmanniidae)</t>
    <phoneticPr fontId="2" type="noConversion"/>
  </si>
  <si>
    <t>Determined at the suborder level (Mixonomatides)</t>
    <phoneticPr fontId="2" type="noConversion"/>
  </si>
  <si>
    <t>Determined at the family level (Euphthiracaridae)</t>
    <phoneticPr fontId="2" type="noConversion"/>
  </si>
  <si>
    <t>Determined at the superfamily level (Euphthiracaroidea)</t>
    <phoneticPr fontId="2" type="noConversion"/>
  </si>
  <si>
    <t>Determined at the family level (Trhypochthoniidae)</t>
    <phoneticPr fontId="2" type="noConversion"/>
  </si>
  <si>
    <t>Determined at the family level (Phthiracaridae)</t>
    <phoneticPr fontId="2" type="noConversion"/>
  </si>
  <si>
    <t>Determined at the family level (Crotoniidae)</t>
    <phoneticPr fontId="2" type="noConversion"/>
  </si>
  <si>
    <t>Determined at the family level (Nanhermanniidae)</t>
    <phoneticPr fontId="2" type="noConversion"/>
  </si>
  <si>
    <t>Determined at the superfamily level (Hermannielloidea)</t>
    <phoneticPr fontId="2" type="noConversion"/>
  </si>
  <si>
    <t>Determined at the family level (Damaeidae)</t>
    <phoneticPr fontId="2" type="noConversion"/>
  </si>
  <si>
    <t>Determined at the superfamily level (Ameroidea)</t>
    <phoneticPr fontId="2" type="noConversion"/>
  </si>
  <si>
    <t>Determined at the family level (Ceratoppiidae)</t>
    <phoneticPr fontId="2" type="noConversion"/>
  </si>
  <si>
    <t>Determined at the family level (Astegistidae)</t>
    <phoneticPr fontId="2" type="noConversion"/>
  </si>
  <si>
    <t>Determined at the superfamily level (Gustavioidea)</t>
    <phoneticPr fontId="2" type="noConversion"/>
  </si>
  <si>
    <t>Determined at the superfamily level (Carabodoidea)</t>
    <phoneticPr fontId="2" type="noConversion"/>
  </si>
  <si>
    <t>Determined at the family level (Suctobelbidae)</t>
    <phoneticPr fontId="2" type="noConversion"/>
  </si>
  <si>
    <t>Determined at the family level (Oppiidae)</t>
    <phoneticPr fontId="2" type="noConversion"/>
  </si>
  <si>
    <t>Determined at the family level (Parakalummidae)</t>
    <phoneticPr fontId="2" type="noConversion"/>
  </si>
  <si>
    <t>Determined at the family level (Scheloribatidae)</t>
    <phoneticPr fontId="2" type="noConversion"/>
  </si>
  <si>
    <t>Determined at the family level (Mochlozetidae)</t>
    <phoneticPr fontId="2" type="noConversion"/>
  </si>
  <si>
    <t>Determined at the family level (Haplozetidae)</t>
    <phoneticPr fontId="2" type="noConversion"/>
  </si>
  <si>
    <t>Determined at the family level (Protoribatidae)</t>
    <phoneticPr fontId="2" type="noConversion"/>
  </si>
  <si>
    <t>Determined at the family level (Galumnidae)</t>
    <phoneticPr fontId="2" type="noConversion"/>
  </si>
  <si>
    <t>Determined at the superfamily level (Galumnoidea)</t>
    <phoneticPr fontId="2" type="noConversion"/>
  </si>
  <si>
    <t>(4) Hypochthoniella</t>
    <phoneticPr fontId="2" type="noConversion"/>
  </si>
  <si>
    <t>(5) Cosmochthonius</t>
    <phoneticPr fontId="2" type="noConversion"/>
  </si>
  <si>
    <t>(8) Meristacarus</t>
    <phoneticPr fontId="2" type="noConversion"/>
  </si>
  <si>
    <t>(12) Epilohmannia</t>
    <phoneticPr fontId="2" type="noConversion"/>
  </si>
  <si>
    <t>(13) Microtritia</t>
    <phoneticPr fontId="2" type="noConversion"/>
  </si>
  <si>
    <t>(14) Rhysotritia</t>
    <phoneticPr fontId="2" type="noConversion"/>
  </si>
  <si>
    <t>(17) Phthiracarus</t>
    <phoneticPr fontId="2" type="noConversion"/>
  </si>
  <si>
    <t>(18) Steganacarus</t>
    <phoneticPr fontId="2" type="noConversion"/>
  </si>
  <si>
    <t>(19)Hoplophthiracarus</t>
    <phoneticPr fontId="2" type="noConversion"/>
  </si>
  <si>
    <t>(21) Camisia</t>
    <phoneticPr fontId="2" type="noConversion"/>
  </si>
  <si>
    <t>(22) Platynothrus</t>
    <phoneticPr fontId="2" type="noConversion"/>
  </si>
  <si>
    <t>(23) Heminothrus</t>
    <phoneticPr fontId="2" type="noConversion"/>
  </si>
  <si>
    <t>(24) Nothrus</t>
    <phoneticPr fontId="2" type="noConversion"/>
  </si>
  <si>
    <t>(25) Crotonia</t>
    <phoneticPr fontId="2" type="noConversion"/>
  </si>
  <si>
    <t>(27) Archegozetes</t>
    <phoneticPr fontId="2" type="noConversion"/>
  </si>
  <si>
    <t>(28) Allonothrus</t>
    <phoneticPr fontId="2" type="noConversion"/>
  </si>
  <si>
    <t>(29) Afronothrus</t>
    <phoneticPr fontId="2" type="noConversion"/>
  </si>
  <si>
    <t>(30) Trhypochthoniellus</t>
    <phoneticPr fontId="2" type="noConversion"/>
  </si>
  <si>
    <t>(32) Malaconothrus</t>
    <phoneticPr fontId="2" type="noConversion"/>
  </si>
  <si>
    <t>(33) Trimalaconothrus</t>
    <phoneticPr fontId="2" type="noConversion"/>
  </si>
  <si>
    <t>(34) Nanhermannia</t>
    <phoneticPr fontId="2" type="noConversion"/>
  </si>
  <si>
    <t>(36) Hermannia</t>
    <phoneticPr fontId="2" type="noConversion"/>
  </si>
  <si>
    <t>(37) Hermanniella</t>
    <phoneticPr fontId="2" type="noConversion"/>
  </si>
  <si>
    <t>(39) Damaeus</t>
    <phoneticPr fontId="2" type="noConversion"/>
  </si>
  <si>
    <t>(41) Eremulus</t>
    <phoneticPr fontId="2" type="noConversion"/>
  </si>
  <si>
    <t>(42) Eremobelba</t>
    <phoneticPr fontId="2" type="noConversion"/>
  </si>
  <si>
    <t>(45) Eremaeus</t>
    <phoneticPr fontId="2" type="noConversion"/>
  </si>
  <si>
    <t>(46) Liacarus</t>
    <phoneticPr fontId="2" type="noConversion"/>
  </si>
  <si>
    <t>(47) Ceratoppia</t>
    <phoneticPr fontId="2" type="noConversion"/>
  </si>
  <si>
    <t>(50) Cultroribula</t>
    <phoneticPr fontId="2" type="noConversion"/>
  </si>
  <si>
    <t>(53) Carabodes</t>
    <phoneticPr fontId="2" type="noConversion"/>
  </si>
  <si>
    <t>(55) Dolicheremaeus</t>
    <phoneticPr fontId="2" type="noConversion"/>
  </si>
  <si>
    <t>(56) Otocepheus</t>
    <phoneticPr fontId="2" type="noConversion"/>
  </si>
  <si>
    <t>(57) Allosuctobelba</t>
    <phoneticPr fontId="2" type="noConversion"/>
  </si>
  <si>
    <t>(58) Suctobelbella</t>
    <phoneticPr fontId="2" type="noConversion"/>
  </si>
  <si>
    <t>(60) Oppia</t>
    <phoneticPr fontId="2" type="noConversion"/>
  </si>
  <si>
    <t>(61) Oppiella</t>
    <phoneticPr fontId="2" type="noConversion"/>
  </si>
  <si>
    <t>(62) Ramusella</t>
    <phoneticPr fontId="2" type="noConversion"/>
  </si>
  <si>
    <t>(63) Arcoppia</t>
    <phoneticPr fontId="2" type="noConversion"/>
  </si>
  <si>
    <t>(64) Microppia</t>
    <phoneticPr fontId="2" type="noConversion"/>
  </si>
  <si>
    <t>(65) Multioppia</t>
    <phoneticPr fontId="2" type="noConversion"/>
  </si>
  <si>
    <t>(69) Tectocepheus</t>
    <phoneticPr fontId="2" type="noConversion"/>
  </si>
  <si>
    <t>(70) Scutovertex</t>
    <phoneticPr fontId="2" type="noConversion"/>
  </si>
  <si>
    <t>(71) Neoribates</t>
    <phoneticPr fontId="2" type="noConversion"/>
  </si>
  <si>
    <t>(73) Phauloppia</t>
    <phoneticPr fontId="2" type="noConversion"/>
  </si>
  <si>
    <t>(74) Scheloribates</t>
    <phoneticPr fontId="2" type="noConversion"/>
  </si>
  <si>
    <t>(77) Rostrozetes</t>
    <phoneticPr fontId="2" type="noConversion"/>
  </si>
  <si>
    <t>(82) Protoribates</t>
    <phoneticPr fontId="2" type="noConversion"/>
  </si>
  <si>
    <t>(86) Ceratozetes</t>
    <phoneticPr fontId="2" type="noConversion"/>
  </si>
  <si>
    <t>(87) Galumna</t>
    <phoneticPr fontId="2" type="noConversion"/>
  </si>
  <si>
    <t>(88) Pergalumna</t>
    <phoneticPr fontId="2" type="noConversion"/>
  </si>
  <si>
    <t>(7) Mixacarus</t>
    <phoneticPr fontId="2" type="noConversion"/>
  </si>
  <si>
    <t>(8) Papillacarus</t>
    <phoneticPr fontId="2" type="noConversion"/>
  </si>
  <si>
    <t>(9) Lohmannia</t>
    <phoneticPr fontId="2" type="noConversion"/>
  </si>
  <si>
    <t>(15) Acrotritia</t>
    <phoneticPr fontId="2" type="noConversion"/>
  </si>
  <si>
    <t>(20) Hoplophorella</t>
    <phoneticPr fontId="2" type="noConversion"/>
  </si>
  <si>
    <t>(26) Holonothrus</t>
    <phoneticPr fontId="2" type="noConversion"/>
  </si>
  <si>
    <t>(31) Trhypochthonius</t>
    <phoneticPr fontId="2" type="noConversion"/>
  </si>
  <si>
    <t>(35) Cyrthermannia</t>
    <phoneticPr fontId="2" type="noConversion"/>
  </si>
  <si>
    <t>(40) Epidamaeus</t>
    <phoneticPr fontId="2" type="noConversion"/>
  </si>
  <si>
    <t>(48) Austroceratoppia</t>
    <phoneticPr fontId="2" type="noConversion"/>
  </si>
  <si>
    <t>(49) Pyroppia</t>
    <phoneticPr fontId="2" type="noConversion"/>
  </si>
  <si>
    <t>(51) Astegistes</t>
    <phoneticPr fontId="2" type="noConversion"/>
  </si>
  <si>
    <t>(59) Parisuctobelba</t>
    <phoneticPr fontId="2" type="noConversion"/>
  </si>
  <si>
    <t>(66) Lasiobelba</t>
    <phoneticPr fontId="2" type="noConversion"/>
  </si>
  <si>
    <t>(67) Lauroppia</t>
    <phoneticPr fontId="2" type="noConversion"/>
  </si>
  <si>
    <t>(68) Medioppia</t>
    <phoneticPr fontId="2" type="noConversion"/>
  </si>
  <si>
    <t>(72) Protokalumma</t>
    <phoneticPr fontId="2" type="noConversion"/>
  </si>
  <si>
    <t>(75) Perscheloribates</t>
    <phoneticPr fontId="2" type="noConversion"/>
  </si>
  <si>
    <t>(76) Mochlozetes</t>
    <phoneticPr fontId="2" type="noConversion"/>
  </si>
  <si>
    <t>(78) Incabates</t>
    <phoneticPr fontId="2" type="noConversion"/>
  </si>
  <si>
    <t>(79) Paraxylobates</t>
    <phoneticPr fontId="2" type="noConversion"/>
  </si>
  <si>
    <t>(80) Peloribates</t>
    <phoneticPr fontId="2" type="noConversion"/>
  </si>
  <si>
    <t>(81) Xylobates</t>
    <phoneticPr fontId="2" type="noConversion"/>
  </si>
  <si>
    <t>(83) Perxylobates</t>
    <phoneticPr fontId="2" type="noConversion"/>
  </si>
  <si>
    <t>(84) Setoxylobates</t>
    <phoneticPr fontId="2" type="noConversion"/>
  </si>
  <si>
    <t>(85) Vilhenabates</t>
    <phoneticPr fontId="2" type="noConversion"/>
  </si>
  <si>
    <t>(89) Trichogalumna</t>
    <phoneticPr fontId="2" type="noConversion"/>
  </si>
  <si>
    <t>(16) Synichotritia</t>
    <phoneticPr fontId="2" type="noConversion"/>
  </si>
  <si>
    <t>(38) Plasmobates</t>
    <phoneticPr fontId="2" type="noConversion"/>
  </si>
  <si>
    <t>(43) Fosseremus</t>
    <phoneticPr fontId="2" type="noConversion"/>
  </si>
  <si>
    <t>(44) Ctenobelba</t>
    <phoneticPr fontId="2" type="noConversion"/>
  </si>
  <si>
    <t>(52) Gustavia</t>
    <phoneticPr fontId="2" type="noConversion"/>
  </si>
  <si>
    <t>(54) Nippobodes</t>
    <phoneticPr fontId="2" type="noConversion"/>
  </si>
  <si>
    <t>(90) Porogalumnella</t>
    <phoneticPr fontId="2" type="noConversion"/>
  </si>
  <si>
    <t>(91) Galumnella</t>
    <phoneticPr fontId="2" type="noConversion"/>
  </si>
  <si>
    <t>(10) Eulohmannia</t>
    <phoneticPr fontId="2" type="noConversion"/>
  </si>
  <si>
    <t>(11) Perlohmannia</t>
    <phoneticPr fontId="2" type="noConversion"/>
  </si>
  <si>
    <t>(6) Meristacarus</t>
    <phoneticPr fontId="2" type="noConversion"/>
  </si>
  <si>
    <t>(19) Hoplophthiracarus</t>
    <phoneticPr fontId="2" type="noConversion"/>
  </si>
  <si>
    <t>Oripodoidea</t>
    <phoneticPr fontId="2" type="noConversion"/>
  </si>
  <si>
    <t>Forest type</t>
    <phoneticPr fontId="2" type="noConversion"/>
  </si>
  <si>
    <t>RBS</t>
    <phoneticPr fontId="2" type="noConversion"/>
  </si>
  <si>
    <t>DBF</t>
    <phoneticPr fontId="2" type="noConversion"/>
  </si>
  <si>
    <t>EBF</t>
    <phoneticPr fontId="2" type="noConversion"/>
  </si>
  <si>
    <t>CBF</t>
    <phoneticPr fontId="2" type="noConversion"/>
  </si>
  <si>
    <t>Site</t>
    <phoneticPr fontId="2" type="noConversion"/>
  </si>
  <si>
    <t>Lng</t>
    <phoneticPr fontId="2" type="noConversion"/>
  </si>
  <si>
    <t>Lat</t>
    <phoneticPr fontId="2" type="noConversion"/>
  </si>
  <si>
    <t>Alt</t>
    <phoneticPr fontId="2" type="noConversion"/>
  </si>
  <si>
    <t>Pro</t>
    <phoneticPr fontId="2" type="noConversion"/>
  </si>
  <si>
    <t>BD</t>
    <phoneticPr fontId="2" type="noConversion"/>
  </si>
  <si>
    <t>SWC</t>
    <phoneticPr fontId="2" type="noConversion"/>
  </si>
  <si>
    <t>NWC</t>
    <phoneticPr fontId="2" type="noConversion"/>
  </si>
  <si>
    <t>pH</t>
    <phoneticPr fontId="2" type="noConversion"/>
  </si>
  <si>
    <t>SOM</t>
    <phoneticPr fontId="2" type="noConversion"/>
  </si>
  <si>
    <t>TN</t>
    <phoneticPr fontId="2" type="noConversion"/>
  </si>
  <si>
    <t>TP</t>
    <phoneticPr fontId="2" type="noConversion"/>
  </si>
  <si>
    <t>TK</t>
    <phoneticPr fontId="2" type="noConversion"/>
  </si>
  <si>
    <t>C:N</t>
    <phoneticPr fontId="2" type="noConversion"/>
  </si>
  <si>
    <t>C:P</t>
    <phoneticPr fontId="2" type="noConversion"/>
  </si>
  <si>
    <t>N:P</t>
    <phoneticPr fontId="2" type="noConversion"/>
  </si>
  <si>
    <t>alpha_diversity_fungi</t>
    <phoneticPr fontId="2" type="noConversion"/>
  </si>
  <si>
    <t>alpha_diversity_predator</t>
    <phoneticPr fontId="2" type="noConversion"/>
  </si>
  <si>
    <t>alpha_diversity_decomp</t>
    <phoneticPr fontId="2" type="noConversion"/>
  </si>
  <si>
    <t>network_complexity_fungi</t>
    <phoneticPr fontId="2" type="noConversion"/>
  </si>
  <si>
    <t>network_complexity_predator</t>
    <phoneticPr fontId="2" type="noConversion"/>
  </si>
  <si>
    <t>network_complexity_decomp</t>
    <phoneticPr fontId="2" type="noConversion"/>
  </si>
  <si>
    <t>beta_diversity_fungi</t>
    <phoneticPr fontId="2" type="noConversion"/>
  </si>
  <si>
    <t>beta_diversity_predator</t>
    <phoneticPr fontId="2" type="noConversion"/>
  </si>
  <si>
    <t>beta_diversity_decomp</t>
    <phoneticPr fontId="2" type="noConversion"/>
  </si>
  <si>
    <t>Notes</t>
    <phoneticPr fontId="2" type="noConversion"/>
  </si>
  <si>
    <r>
      <t>CaCO</t>
    </r>
    <r>
      <rPr>
        <vertAlign val="subscript"/>
        <sz val="11"/>
        <color theme="1"/>
        <rFont val="Times New Roman"/>
        <family val="1"/>
      </rPr>
      <t>3</t>
    </r>
  </si>
  <si>
    <r>
      <t>CaCO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  <scheme val="minor"/>
      </rPr>
      <t/>
    </r>
  </si>
  <si>
    <t>Maraun, M., Thomas, T., Fast, E., Treibert, N., Caruso, T., Schaefer, I., Lu, J., Scheu, S., 2023. New perspectives on soil animal trophic ecology through the lens of C and N stable isotope ratios of oribatid mites. Soil Biology and Biochemistry 177, 108890. https://doi.org/10.1016/j.soilbio.2022.108890.</t>
  </si>
  <si>
    <r>
      <t>13</t>
    </r>
    <r>
      <rPr>
        <b/>
        <sz val="11"/>
        <color theme="1"/>
        <rFont val="Times New Roman"/>
        <family val="1"/>
      </rPr>
      <t>C</t>
    </r>
  </si>
  <si>
    <r>
      <rPr>
        <b/>
        <vertAlign val="superscript"/>
        <sz val="11"/>
        <color theme="1"/>
        <rFont val="Times New Roman"/>
        <family val="1"/>
      </rPr>
      <t>15</t>
    </r>
    <r>
      <rPr>
        <b/>
        <sz val="11"/>
        <color theme="1"/>
        <rFont val="Times New Roman"/>
        <family val="1"/>
      </rPr>
      <t>N</t>
    </r>
  </si>
  <si>
    <r>
      <rPr>
        <b/>
        <vertAlign val="superscript"/>
        <sz val="11"/>
        <color theme="1"/>
        <rFont val="Times New Roman"/>
        <family val="1"/>
      </rPr>
      <t>13</t>
    </r>
    <r>
      <rPr>
        <b/>
        <sz val="11"/>
        <color theme="1"/>
        <rFont val="Times New Roman"/>
        <family val="1"/>
      </rPr>
      <t>C mean</t>
    </r>
  </si>
  <si>
    <r>
      <rPr>
        <b/>
        <vertAlign val="superscript"/>
        <sz val="11"/>
        <color theme="1"/>
        <rFont val="Times New Roman"/>
        <family val="1"/>
      </rPr>
      <t>15</t>
    </r>
    <r>
      <rPr>
        <b/>
        <sz val="11"/>
        <color theme="1"/>
        <rFont val="Times New Roman"/>
        <family val="1"/>
      </rPr>
      <t>N mean</t>
    </r>
  </si>
  <si>
    <t>Oribatid mite species/taxa, their taxonomic affiliation,their mean Δ13C and Δ15N values and their trophic group (based on the Fig. 2 of Maraun et al., 2023),</t>
  </si>
  <si>
    <t>“(decomp = decomposer; fungi = secondary decomposer/fungal feeders; pred= predator/scavenger;lichen=lichen feeders)”</t>
  </si>
  <si>
    <r>
      <t>Note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To determine the trophic levels of soil oribatid mites, we recalculated the mean δ¹⁵N and δ¹³C values for different taxonomic units using a compiled stable isotope dataset from Maraun et al. (2023). Subsequently, we classified the mites into four trophic functional groups—primary decomposers, fungal feeders/secondary decomposers, predators, and lichen feeders—following the classification criteria outlined in their study (Fig. 2).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</si>
</sst>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vertAlign val="subscript"/>
      <sz val="11"/>
      <color theme="1"/>
      <name val="Times New Roman"/>
      <family val="1"/>
    </font>
    <font>
      <sz val="1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76" fontId="5" fillId="0" borderId="0" xfId="0" applyNumberFormat="1" applyFont="1" applyAlignment="1">
      <alignment horizontal="left" vertical="center" wrapText="1"/>
    </xf>
    <xf numFmtId="0" fontId="4" fillId="2" borderId="0" xfId="0" applyFont="1" applyFill="1" applyAlignment="1">
      <alignment horizontal="left"/>
    </xf>
    <xf numFmtId="176" fontId="4" fillId="0" borderId="0" xfId="0" applyNumberFormat="1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8" fillId="0" borderId="0" xfId="0" applyFont="1" applyAlignment="1">
      <alignment horizontal="left" vertical="center"/>
    </xf>
    <xf numFmtId="0" fontId="4" fillId="8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2" fontId="9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2" fontId="4" fillId="0" borderId="2" xfId="0" applyNumberFormat="1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2" fontId="4" fillId="0" borderId="0" xfId="0" applyNumberFormat="1" applyFont="1" applyAlignment="1">
      <alignment horizontal="left"/>
    </xf>
    <xf numFmtId="0" fontId="4" fillId="5" borderId="5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6" borderId="5" xfId="0" applyFont="1" applyFill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2" fontId="4" fillId="0" borderId="7" xfId="0" applyNumberFormat="1" applyFont="1" applyBorder="1" applyAlignment="1">
      <alignment horizontal="left"/>
    </xf>
    <xf numFmtId="0" fontId="4" fillId="5" borderId="8" xfId="0" applyFont="1" applyFill="1" applyBorder="1" applyAlignment="1">
      <alignment horizontal="left"/>
    </xf>
    <xf numFmtId="2" fontId="4" fillId="0" borderId="0" xfId="0" applyNumberFormat="1" applyFont="1" applyAlignment="1">
      <alignment horizontal="left" vertical="center"/>
    </xf>
    <xf numFmtId="0" fontId="4" fillId="5" borderId="3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4" fillId="7" borderId="5" xfId="0" applyFont="1" applyFill="1" applyBorder="1" applyAlignment="1">
      <alignment horizontal="left"/>
    </xf>
    <xf numFmtId="2" fontId="10" fillId="0" borderId="0" xfId="0" applyNumberFormat="1" applyFont="1" applyAlignment="1">
      <alignment horizontal="left"/>
    </xf>
    <xf numFmtId="0" fontId="4" fillId="0" borderId="8" xfId="0" applyFont="1" applyBorder="1" applyAlignment="1">
      <alignment horizontal="left"/>
    </xf>
    <xf numFmtId="2" fontId="9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2" fontId="4" fillId="0" borderId="2" xfId="0" applyNumberFormat="1" applyFont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2" fontId="4" fillId="0" borderId="7" xfId="0" applyNumberFormat="1" applyFont="1" applyBorder="1" applyAlignment="1">
      <alignment horizontal="left" vertical="center"/>
    </xf>
    <xf numFmtId="0" fontId="4" fillId="6" borderId="8" xfId="0" applyFont="1" applyFill="1" applyBorder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4" fillId="0" borderId="7" xfId="0" quotePrefix="1" applyFont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2" fontId="10" fillId="0" borderId="0" xfId="0" applyNumberFormat="1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2" fontId="4" fillId="0" borderId="10" xfId="0" applyNumberFormat="1" applyFont="1" applyBorder="1" applyAlignment="1">
      <alignment horizontal="left" vertical="center"/>
    </xf>
    <xf numFmtId="0" fontId="4" fillId="6" borderId="11" xfId="0" applyFont="1" applyFill="1" applyBorder="1" applyAlignment="1">
      <alignment horizontal="left" vertical="center"/>
    </xf>
    <xf numFmtId="0" fontId="4" fillId="6" borderId="8" xfId="0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2" fontId="4" fillId="0" borderId="10" xfId="0" applyNumberFormat="1" applyFont="1" applyBorder="1" applyAlignment="1">
      <alignment horizontal="left"/>
    </xf>
    <xf numFmtId="0" fontId="4" fillId="3" borderId="11" xfId="0" applyFont="1" applyFill="1" applyBorder="1" applyAlignment="1">
      <alignment horizontal="left"/>
    </xf>
    <xf numFmtId="0" fontId="4" fillId="5" borderId="11" xfId="0" applyFont="1" applyFill="1" applyBorder="1" applyAlignment="1">
      <alignment horizontal="left"/>
    </xf>
    <xf numFmtId="0" fontId="4" fillId="6" borderId="11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/>
    </xf>
    <xf numFmtId="2" fontId="10" fillId="0" borderId="7" xfId="0" applyNumberFormat="1" applyFont="1" applyBorder="1" applyAlignment="1">
      <alignment horizontal="left"/>
    </xf>
    <xf numFmtId="0" fontId="4" fillId="4" borderId="11" xfId="0" applyFont="1" applyFill="1" applyBorder="1" applyAlignment="1">
      <alignment horizontal="left"/>
    </xf>
    <xf numFmtId="0" fontId="4" fillId="7" borderId="3" xfId="0" applyFont="1" applyFill="1" applyBorder="1" applyAlignment="1">
      <alignment horizontal="left"/>
    </xf>
    <xf numFmtId="0" fontId="4" fillId="0" borderId="10" xfId="0" quotePrefix="1" applyFont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4" fillId="9" borderId="5" xfId="0" applyFont="1" applyFill="1" applyBorder="1" applyAlignment="1">
      <alignment horizontal="left"/>
    </xf>
    <xf numFmtId="0" fontId="4" fillId="0" borderId="7" xfId="0" quotePrefix="1" applyFont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4" fillId="7" borderId="8" xfId="0" applyFont="1" applyFill="1" applyBorder="1" applyAlignment="1">
      <alignment horizontal="left"/>
    </xf>
    <xf numFmtId="0" fontId="4" fillId="0" borderId="0" xfId="0" quotePrefix="1" applyFont="1" applyAlignment="1">
      <alignment horizontal="left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1971-A5D4-412F-BC95-D1B031DAAE4D}">
  <dimension ref="A1:H97"/>
  <sheetViews>
    <sheetView topLeftCell="A80" zoomScaleNormal="100" workbookViewId="0">
      <selection activeCell="A100" sqref="A100"/>
    </sheetView>
  </sheetViews>
  <sheetFormatPr defaultRowHeight="14.15" x14ac:dyDescent="0.35"/>
  <cols>
    <col min="1" max="1" width="19.92578125" style="2" customWidth="1"/>
    <col min="2" max="2" width="18.78515625" style="2" customWidth="1"/>
    <col min="3" max="3" width="20.5" style="2" customWidth="1"/>
    <col min="4" max="4" width="21" style="2" customWidth="1"/>
    <col min="5" max="5" width="12.42578125" style="3" customWidth="1"/>
    <col min="6" max="6" width="13.78515625" style="3" customWidth="1"/>
    <col min="7" max="7" width="14.5703125" style="2" customWidth="1"/>
    <col min="8" max="8" width="44.2109375" style="2" customWidth="1"/>
    <col min="9" max="16384" width="9.140625" style="2"/>
  </cols>
  <sheetData>
    <row r="1" spans="1:8" s="1" customFormat="1" x14ac:dyDescent="0.35">
      <c r="A1" s="5" t="s">
        <v>0</v>
      </c>
      <c r="B1" s="5" t="s">
        <v>1</v>
      </c>
      <c r="C1" s="6" t="s">
        <v>2</v>
      </c>
      <c r="D1" s="6" t="s">
        <v>3</v>
      </c>
      <c r="E1" s="7" t="s">
        <v>49</v>
      </c>
      <c r="F1" s="7" t="s">
        <v>50</v>
      </c>
      <c r="G1" s="6" t="s">
        <v>42</v>
      </c>
      <c r="H1" s="1" t="s">
        <v>603</v>
      </c>
    </row>
    <row r="2" spans="1:8" x14ac:dyDescent="0.35">
      <c r="A2" s="2" t="s">
        <v>43</v>
      </c>
      <c r="B2" s="2" t="s">
        <v>44</v>
      </c>
      <c r="C2" s="2" t="s">
        <v>45</v>
      </c>
      <c r="D2" s="2" t="s">
        <v>46</v>
      </c>
      <c r="E2" s="3">
        <v>4.1953847793677204</v>
      </c>
      <c r="F2" s="3">
        <v>4.5988975445182598</v>
      </c>
      <c r="G2" s="8" t="s">
        <v>6</v>
      </c>
      <c r="H2" s="2" t="s">
        <v>455</v>
      </c>
    </row>
    <row r="3" spans="1:8" x14ac:dyDescent="0.35">
      <c r="C3" s="2" t="s">
        <v>47</v>
      </c>
      <c r="D3" s="2" t="s">
        <v>48</v>
      </c>
      <c r="E3" s="9">
        <v>4.9310808000000002</v>
      </c>
      <c r="F3" s="9">
        <v>5.1287833329999994</v>
      </c>
      <c r="G3" s="10" t="s">
        <v>8</v>
      </c>
    </row>
    <row r="4" spans="1:8" x14ac:dyDescent="0.35">
      <c r="D4" s="2" t="s">
        <v>51</v>
      </c>
      <c r="E4" s="3">
        <v>4.292725026634562</v>
      </c>
      <c r="F4" s="3">
        <v>5.8961436882446367</v>
      </c>
      <c r="G4" s="10" t="s">
        <v>8</v>
      </c>
    </row>
    <row r="5" spans="1:8" x14ac:dyDescent="0.35">
      <c r="C5" s="2" t="s">
        <v>52</v>
      </c>
      <c r="D5" s="2" t="s">
        <v>482</v>
      </c>
      <c r="E5" s="3">
        <v>3.201703918301499</v>
      </c>
      <c r="F5" s="3">
        <v>1.4518993501688886</v>
      </c>
      <c r="G5" s="11" t="s">
        <v>19</v>
      </c>
      <c r="H5" s="2" t="s">
        <v>456</v>
      </c>
    </row>
    <row r="6" spans="1:8" x14ac:dyDescent="0.35">
      <c r="B6" s="2" t="s">
        <v>53</v>
      </c>
      <c r="C6" s="2" t="s">
        <v>54</v>
      </c>
      <c r="D6" s="2" t="s">
        <v>483</v>
      </c>
      <c r="E6" s="3">
        <v>4.0842426811356818</v>
      </c>
      <c r="F6" s="3">
        <v>4.208507166877034</v>
      </c>
      <c r="G6" s="12" t="s">
        <v>6</v>
      </c>
      <c r="H6" s="2" t="s">
        <v>457</v>
      </c>
    </row>
    <row r="7" spans="1:8" x14ac:dyDescent="0.35">
      <c r="B7" s="2" t="s">
        <v>55</v>
      </c>
      <c r="C7" s="2" t="s">
        <v>57</v>
      </c>
      <c r="D7" s="2" t="s">
        <v>570</v>
      </c>
      <c r="E7" s="3">
        <v>3.6257138038888876</v>
      </c>
      <c r="F7" s="3">
        <v>2.1222122805555554</v>
      </c>
      <c r="G7" s="12" t="s">
        <v>6</v>
      </c>
    </row>
    <row r="8" spans="1:8" x14ac:dyDescent="0.35">
      <c r="D8" s="2" t="s">
        <v>533</v>
      </c>
      <c r="E8" s="3">
        <v>3.6257138038888876</v>
      </c>
      <c r="F8" s="3">
        <v>2.1222122805555554</v>
      </c>
      <c r="G8" s="12" t="s">
        <v>6</v>
      </c>
      <c r="H8" s="2" t="s">
        <v>458</v>
      </c>
    </row>
    <row r="9" spans="1:8" x14ac:dyDescent="0.35">
      <c r="D9" s="2" t="s">
        <v>534</v>
      </c>
      <c r="E9" s="3">
        <v>3.6257138038888876</v>
      </c>
      <c r="F9" s="3">
        <v>2.1222122805555554</v>
      </c>
      <c r="G9" s="12" t="s">
        <v>6</v>
      </c>
      <c r="H9" s="2" t="s">
        <v>458</v>
      </c>
    </row>
    <row r="10" spans="1:8" x14ac:dyDescent="0.35">
      <c r="D10" s="2" t="s">
        <v>535</v>
      </c>
      <c r="E10" s="3">
        <v>3.6257138038888876</v>
      </c>
      <c r="F10" s="3">
        <v>2.1222122805555554</v>
      </c>
      <c r="G10" s="12" t="s">
        <v>6</v>
      </c>
      <c r="H10" s="2" t="s">
        <v>458</v>
      </c>
    </row>
    <row r="11" spans="1:8" x14ac:dyDescent="0.35">
      <c r="A11" s="4" t="s">
        <v>59</v>
      </c>
      <c r="B11" s="4" t="s">
        <v>60</v>
      </c>
      <c r="C11" s="2" t="s">
        <v>61</v>
      </c>
      <c r="D11" s="2" t="s">
        <v>568</v>
      </c>
      <c r="E11" s="3">
        <v>6.84508065319738</v>
      </c>
      <c r="F11" s="3">
        <v>1.8808906242799028</v>
      </c>
      <c r="G11" s="12" t="s">
        <v>6</v>
      </c>
      <c r="H11" s="2" t="s">
        <v>459</v>
      </c>
    </row>
    <row r="12" spans="1:8" x14ac:dyDescent="0.35">
      <c r="B12" s="4" t="s">
        <v>101</v>
      </c>
      <c r="C12" s="2" t="s">
        <v>102</v>
      </c>
      <c r="D12" s="2" t="s">
        <v>569</v>
      </c>
      <c r="E12" s="3">
        <v>6.84508065319738</v>
      </c>
      <c r="F12" s="3">
        <v>1.8808906242799028</v>
      </c>
      <c r="G12" s="12" t="s">
        <v>6</v>
      </c>
      <c r="H12" s="2" t="s">
        <v>459</v>
      </c>
    </row>
    <row r="13" spans="1:8" x14ac:dyDescent="0.35">
      <c r="B13" s="2" t="s">
        <v>103</v>
      </c>
      <c r="C13" s="2" t="s">
        <v>104</v>
      </c>
      <c r="D13" s="2" t="s">
        <v>485</v>
      </c>
      <c r="E13" s="9">
        <v>6.8830496082953339</v>
      </c>
      <c r="F13" s="9">
        <v>1.3651980505066661</v>
      </c>
      <c r="G13" s="11" t="s">
        <v>19</v>
      </c>
    </row>
    <row r="14" spans="1:8" x14ac:dyDescent="0.35">
      <c r="B14" s="2" t="s">
        <v>105</v>
      </c>
      <c r="C14" s="2" t="s">
        <v>106</v>
      </c>
      <c r="D14" s="2" t="s">
        <v>486</v>
      </c>
      <c r="E14" s="9">
        <v>5.9470496082953339</v>
      </c>
      <c r="F14" s="9">
        <v>2.8181980505066657</v>
      </c>
      <c r="G14" s="12" t="s">
        <v>6</v>
      </c>
    </row>
    <row r="15" spans="1:8" x14ac:dyDescent="0.35">
      <c r="D15" s="2" t="s">
        <v>487</v>
      </c>
      <c r="E15" s="3">
        <v>5.8331943165501476</v>
      </c>
      <c r="F15" s="3">
        <v>2.4315977748480866</v>
      </c>
      <c r="G15" s="12" t="s">
        <v>6</v>
      </c>
    </row>
    <row r="16" spans="1:8" x14ac:dyDescent="0.35">
      <c r="D16" s="2" t="s">
        <v>536</v>
      </c>
      <c r="E16" s="3">
        <v>5.9305008316664418</v>
      </c>
      <c r="F16" s="3">
        <v>2.2865074807410131</v>
      </c>
      <c r="G16" s="12" t="s">
        <v>6</v>
      </c>
      <c r="H16" s="2" t="s">
        <v>460</v>
      </c>
    </row>
    <row r="17" spans="1:8" x14ac:dyDescent="0.35">
      <c r="C17" s="2" t="s">
        <v>156</v>
      </c>
      <c r="D17" s="2" t="s">
        <v>560</v>
      </c>
      <c r="E17" s="3">
        <v>5.9305008316664418</v>
      </c>
      <c r="F17" s="3">
        <v>2.2865074807410131</v>
      </c>
      <c r="G17" s="12" t="s">
        <v>6</v>
      </c>
      <c r="H17" s="2" t="s">
        <v>461</v>
      </c>
    </row>
    <row r="18" spans="1:8" ht="16.75" x14ac:dyDescent="0.5">
      <c r="B18" s="2" t="s">
        <v>107</v>
      </c>
      <c r="C18" s="2" t="s">
        <v>108</v>
      </c>
      <c r="D18" s="2" t="s">
        <v>488</v>
      </c>
      <c r="E18" s="3">
        <v>7.6081816194426874</v>
      </c>
      <c r="F18" s="3">
        <v>1.4205505211168785</v>
      </c>
      <c r="G18" s="13" t="s">
        <v>604</v>
      </c>
    </row>
    <row r="19" spans="1:8" x14ac:dyDescent="0.35">
      <c r="D19" s="2" t="s">
        <v>489</v>
      </c>
      <c r="E19" s="3">
        <v>6.7742687529027288</v>
      </c>
      <c r="F19" s="3">
        <v>1.8275945482515188</v>
      </c>
      <c r="G19" s="12" t="s">
        <v>6</v>
      </c>
    </row>
    <row r="20" spans="1:8" ht="16.75" x14ac:dyDescent="0.5">
      <c r="D20" s="2" t="s">
        <v>571</v>
      </c>
      <c r="E20" s="9">
        <v>7.0377758975148907</v>
      </c>
      <c r="F20" s="9">
        <v>3.6974672590929831</v>
      </c>
      <c r="G20" s="13" t="s">
        <v>605</v>
      </c>
    </row>
    <row r="21" spans="1:8" ht="16.75" x14ac:dyDescent="0.5">
      <c r="D21" s="2" t="s">
        <v>537</v>
      </c>
      <c r="E21" s="3">
        <v>7.1102510613481584</v>
      </c>
      <c r="F21" s="3">
        <v>1.7840728983859631</v>
      </c>
      <c r="G21" s="13" t="s">
        <v>604</v>
      </c>
      <c r="H21" s="2" t="s">
        <v>463</v>
      </c>
    </row>
    <row r="22" spans="1:8" x14ac:dyDescent="0.35">
      <c r="A22" s="2" t="s">
        <v>111</v>
      </c>
      <c r="B22" s="2" t="s">
        <v>112</v>
      </c>
      <c r="C22" s="2" t="s">
        <v>113</v>
      </c>
      <c r="D22" s="2" t="s">
        <v>491</v>
      </c>
      <c r="E22" s="3">
        <v>3.3742957520224963</v>
      </c>
      <c r="F22" s="3">
        <v>-2.5904936084438375</v>
      </c>
      <c r="G22" s="14" t="s">
        <v>82</v>
      </c>
    </row>
    <row r="23" spans="1:8" x14ac:dyDescent="0.35">
      <c r="D23" s="2" t="s">
        <v>492</v>
      </c>
      <c r="E23" s="3">
        <v>3.9330319590329923</v>
      </c>
      <c r="F23" s="3">
        <v>-1.2841527052569659</v>
      </c>
      <c r="G23" s="11" t="s">
        <v>19</v>
      </c>
    </row>
    <row r="24" spans="1:8" x14ac:dyDescent="0.35">
      <c r="D24" s="2" t="s">
        <v>493</v>
      </c>
      <c r="E24" s="9">
        <v>2.0338547956947011</v>
      </c>
      <c r="F24" s="9">
        <v>1.6582105263157896</v>
      </c>
      <c r="G24" s="11" t="s">
        <v>19</v>
      </c>
    </row>
    <row r="25" spans="1:8" x14ac:dyDescent="0.35">
      <c r="C25" s="2" t="s">
        <v>130</v>
      </c>
      <c r="D25" s="2" t="s">
        <v>494</v>
      </c>
      <c r="E25" s="3">
        <v>4.356245008222297</v>
      </c>
      <c r="F25" s="3">
        <v>1.8053089642036044</v>
      </c>
      <c r="G25" s="12" t="s">
        <v>6</v>
      </c>
    </row>
    <row r="26" spans="1:8" x14ac:dyDescent="0.35">
      <c r="C26" s="2" t="s">
        <v>137</v>
      </c>
      <c r="D26" s="15" t="s">
        <v>495</v>
      </c>
      <c r="E26" s="9">
        <v>3.8666666666666707</v>
      </c>
      <c r="F26" s="9">
        <v>-1.2666666666666668</v>
      </c>
      <c r="G26" s="11" t="s">
        <v>19</v>
      </c>
    </row>
    <row r="27" spans="1:8" x14ac:dyDescent="0.35">
      <c r="D27" s="2" t="s">
        <v>538</v>
      </c>
      <c r="E27" s="3">
        <v>3.6237321745709883</v>
      </c>
      <c r="F27" s="3">
        <v>-1.6096546553698632</v>
      </c>
      <c r="G27" s="11" t="s">
        <v>19</v>
      </c>
      <c r="H27" s="2" t="s">
        <v>464</v>
      </c>
    </row>
    <row r="28" spans="1:8" x14ac:dyDescent="0.35">
      <c r="C28" s="2" t="s">
        <v>141</v>
      </c>
      <c r="D28" s="2" t="s">
        <v>496</v>
      </c>
      <c r="E28" s="3">
        <v>2.2301573319999992</v>
      </c>
      <c r="F28" s="3">
        <v>1.3828568966000001</v>
      </c>
      <c r="G28" s="16" t="s">
        <v>145</v>
      </c>
    </row>
    <row r="29" spans="1:8" x14ac:dyDescent="0.35">
      <c r="D29" s="2" t="s">
        <v>497</v>
      </c>
      <c r="E29" s="9">
        <v>1.645560524000004</v>
      </c>
      <c r="F29" s="9">
        <v>3.7670982261999995</v>
      </c>
      <c r="G29" s="12" t="s">
        <v>6</v>
      </c>
    </row>
    <row r="30" spans="1:8" x14ac:dyDescent="0.35">
      <c r="D30" s="2" t="s">
        <v>498</v>
      </c>
      <c r="E30" s="9">
        <v>4.2469412800000015</v>
      </c>
      <c r="F30" s="9">
        <v>0.87661666633333335</v>
      </c>
      <c r="G30" s="11" t="s">
        <v>19</v>
      </c>
    </row>
    <row r="31" spans="1:8" x14ac:dyDescent="0.35">
      <c r="D31" s="2" t="s">
        <v>499</v>
      </c>
      <c r="E31" s="9">
        <v>4.823678718546665</v>
      </c>
      <c r="F31" s="9">
        <v>6.1064489419447332</v>
      </c>
      <c r="G31" s="10" t="s">
        <v>8</v>
      </c>
    </row>
    <row r="32" spans="1:8" x14ac:dyDescent="0.35">
      <c r="D32" s="2" t="s">
        <v>539</v>
      </c>
      <c r="E32" s="3">
        <v>3.3075813297633219</v>
      </c>
      <c r="F32" s="3">
        <v>2.8120963700173971</v>
      </c>
      <c r="G32" s="12" t="s">
        <v>6</v>
      </c>
      <c r="H32" s="2" t="s">
        <v>462</v>
      </c>
    </row>
    <row r="33" spans="1:8" x14ac:dyDescent="0.35">
      <c r="C33" s="2" t="s">
        <v>155</v>
      </c>
      <c r="D33" s="2" t="s">
        <v>500</v>
      </c>
      <c r="E33" s="3">
        <v>4.5822932141038404</v>
      </c>
      <c r="F33" s="3">
        <v>4.9481858517012629</v>
      </c>
      <c r="G33" s="12" t="s">
        <v>6</v>
      </c>
    </row>
    <row r="34" spans="1:8" x14ac:dyDescent="0.35">
      <c r="D34" s="2" t="s">
        <v>501</v>
      </c>
      <c r="E34" s="3">
        <v>3.8576076677690074</v>
      </c>
      <c r="F34" s="3">
        <v>5.152271672910766</v>
      </c>
      <c r="G34" s="10" t="s">
        <v>8</v>
      </c>
    </row>
    <row r="35" spans="1:8" x14ac:dyDescent="0.35">
      <c r="C35" s="2" t="s">
        <v>164</v>
      </c>
      <c r="D35" s="2" t="s">
        <v>502</v>
      </c>
      <c r="E35" s="3">
        <v>5.5332173763689978</v>
      </c>
      <c r="F35" s="3">
        <v>3.3568650992162445</v>
      </c>
      <c r="G35" s="12" t="s">
        <v>6</v>
      </c>
    </row>
    <row r="36" spans="1:8" x14ac:dyDescent="0.35">
      <c r="D36" s="2" t="s">
        <v>540</v>
      </c>
      <c r="E36" s="3">
        <v>4.7225850969582979</v>
      </c>
      <c r="F36" s="3">
        <v>3.6701087818847045</v>
      </c>
      <c r="G36" s="12" t="s">
        <v>6</v>
      </c>
      <c r="H36" s="2" t="s">
        <v>465</v>
      </c>
    </row>
    <row r="37" spans="1:8" x14ac:dyDescent="0.35">
      <c r="B37" s="2" t="s">
        <v>175</v>
      </c>
      <c r="C37" s="2" t="s">
        <v>176</v>
      </c>
      <c r="D37" s="2" t="s">
        <v>503</v>
      </c>
      <c r="E37" s="3">
        <v>4.4281683797808062</v>
      </c>
      <c r="F37" s="3">
        <v>-0.70806234262235079</v>
      </c>
      <c r="G37" s="11" t="s">
        <v>19</v>
      </c>
    </row>
    <row r="38" spans="1:8" x14ac:dyDescent="0.35">
      <c r="A38" s="2" t="s">
        <v>194</v>
      </c>
      <c r="B38" s="2" t="s">
        <v>191</v>
      </c>
      <c r="C38" s="2" t="s">
        <v>192</v>
      </c>
      <c r="D38" s="2" t="s">
        <v>504</v>
      </c>
      <c r="E38" s="3">
        <v>3.4457992836994809</v>
      </c>
      <c r="F38" s="3">
        <v>0.69834643531746021</v>
      </c>
      <c r="G38" s="11" t="s">
        <v>19</v>
      </c>
    </row>
    <row r="39" spans="1:8" x14ac:dyDescent="0.35">
      <c r="C39" s="2" t="s">
        <v>193</v>
      </c>
      <c r="D39" s="2" t="s">
        <v>561</v>
      </c>
      <c r="E39" s="3">
        <v>3.4457992836994809</v>
      </c>
      <c r="F39" s="3">
        <v>0.69834643531746021</v>
      </c>
      <c r="G39" s="11" t="s">
        <v>19</v>
      </c>
      <c r="H39" s="2" t="s">
        <v>466</v>
      </c>
    </row>
    <row r="40" spans="1:8" x14ac:dyDescent="0.35">
      <c r="B40" s="2" t="s">
        <v>196</v>
      </c>
      <c r="C40" s="2" t="s">
        <v>197</v>
      </c>
      <c r="D40" s="2" t="s">
        <v>505</v>
      </c>
      <c r="E40" s="3">
        <v>5.4459915345899601</v>
      </c>
      <c r="F40" s="3">
        <v>3.5572000861528821</v>
      </c>
      <c r="G40" s="12" t="s">
        <v>6</v>
      </c>
    </row>
    <row r="41" spans="1:8" x14ac:dyDescent="0.35">
      <c r="D41" s="2" t="s">
        <v>541</v>
      </c>
      <c r="E41" s="3">
        <v>4.9548469082648605</v>
      </c>
      <c r="F41" s="3">
        <v>4.3925491990476901</v>
      </c>
      <c r="G41" s="12" t="s">
        <v>6</v>
      </c>
      <c r="H41" s="2" t="s">
        <v>467</v>
      </c>
    </row>
    <row r="42" spans="1:8" x14ac:dyDescent="0.35">
      <c r="B42" s="2" t="s">
        <v>220</v>
      </c>
      <c r="C42" s="2" t="s">
        <v>221</v>
      </c>
      <c r="D42" s="2" t="s">
        <v>506</v>
      </c>
      <c r="E42" s="9">
        <v>4.2776400599999995</v>
      </c>
      <c r="F42" s="9">
        <v>3.1631447366000001</v>
      </c>
      <c r="G42" s="12" t="s">
        <v>6</v>
      </c>
    </row>
    <row r="43" spans="1:8" x14ac:dyDescent="0.35">
      <c r="C43" s="2" t="s">
        <v>226</v>
      </c>
      <c r="D43" s="2" t="s">
        <v>507</v>
      </c>
      <c r="E43" s="9">
        <v>4.6265146600000016</v>
      </c>
      <c r="F43" s="9">
        <v>4.1342833329999999</v>
      </c>
      <c r="G43" s="12" t="s">
        <v>6</v>
      </c>
    </row>
    <row r="44" spans="1:8" x14ac:dyDescent="0.35">
      <c r="C44" s="2" t="s">
        <v>260</v>
      </c>
      <c r="D44" s="2" t="s">
        <v>562</v>
      </c>
      <c r="E44" s="9">
        <v>4.4954929865155542</v>
      </c>
      <c r="F44" s="9">
        <v>2.5107241227111108</v>
      </c>
      <c r="G44" s="12" t="s">
        <v>6</v>
      </c>
      <c r="H44" s="2" t="s">
        <v>468</v>
      </c>
    </row>
    <row r="45" spans="1:8" x14ac:dyDescent="0.35">
      <c r="C45" s="2" t="s">
        <v>267</v>
      </c>
      <c r="D45" s="2" t="s">
        <v>563</v>
      </c>
      <c r="E45" s="9">
        <v>4.4954929865155542</v>
      </c>
      <c r="F45" s="9">
        <v>2.5107241227111108</v>
      </c>
      <c r="G45" s="12" t="s">
        <v>6</v>
      </c>
      <c r="H45" s="2" t="s">
        <v>468</v>
      </c>
    </row>
    <row r="46" spans="1:8" x14ac:dyDescent="0.35">
      <c r="B46" s="2" t="s">
        <v>269</v>
      </c>
      <c r="C46" s="2" t="s">
        <v>270</v>
      </c>
      <c r="D46" s="2" t="s">
        <v>508</v>
      </c>
      <c r="E46" s="9">
        <v>4.9145867330246311</v>
      </c>
      <c r="F46" s="9">
        <v>2.3186940611111115</v>
      </c>
      <c r="G46" s="12" t="s">
        <v>6</v>
      </c>
    </row>
    <row r="47" spans="1:8" x14ac:dyDescent="0.35">
      <c r="B47" s="2" t="s">
        <v>274</v>
      </c>
      <c r="C47" s="2" t="s">
        <v>275</v>
      </c>
      <c r="D47" s="2" t="s">
        <v>509</v>
      </c>
      <c r="E47" s="3">
        <v>6.3078555112583263</v>
      </c>
      <c r="F47" s="3">
        <v>0.86798631286224814</v>
      </c>
      <c r="G47" s="11" t="s">
        <v>19</v>
      </c>
    </row>
    <row r="48" spans="1:8" x14ac:dyDescent="0.35">
      <c r="C48" s="2" t="s">
        <v>276</v>
      </c>
      <c r="D48" s="2" t="s">
        <v>510</v>
      </c>
      <c r="E48" s="3">
        <v>4.1315809952891165</v>
      </c>
      <c r="F48" s="3">
        <v>0.24150769284050519</v>
      </c>
      <c r="G48" s="11" t="s">
        <v>19</v>
      </c>
    </row>
    <row r="49" spans="2:8" x14ac:dyDescent="0.35">
      <c r="D49" s="2" t="s">
        <v>542</v>
      </c>
      <c r="E49" s="3">
        <v>4.2223075197716238</v>
      </c>
      <c r="F49" s="3">
        <v>0.28319707005376632</v>
      </c>
      <c r="G49" s="11" t="s">
        <v>19</v>
      </c>
      <c r="H49" s="2" t="s">
        <v>469</v>
      </c>
    </row>
    <row r="50" spans="2:8" x14ac:dyDescent="0.35">
      <c r="D50" s="2" t="s">
        <v>543</v>
      </c>
      <c r="E50" s="3">
        <v>4.2223075197716238</v>
      </c>
      <c r="F50" s="3">
        <v>0.28319707005376632</v>
      </c>
      <c r="G50" s="11" t="s">
        <v>19</v>
      </c>
      <c r="H50" s="2" t="s">
        <v>469</v>
      </c>
    </row>
    <row r="51" spans="2:8" x14ac:dyDescent="0.35">
      <c r="C51" s="2" t="s">
        <v>283</v>
      </c>
      <c r="D51" s="2" t="s">
        <v>511</v>
      </c>
      <c r="E51" s="3">
        <v>4.64566314191954</v>
      </c>
      <c r="F51" s="3">
        <v>2.0437407914465684</v>
      </c>
      <c r="G51" s="12" t="s">
        <v>6</v>
      </c>
    </row>
    <row r="52" spans="2:8" x14ac:dyDescent="0.35">
      <c r="D52" s="2" t="s">
        <v>544</v>
      </c>
      <c r="E52" s="3">
        <v>4.64566314191954</v>
      </c>
      <c r="F52" s="3">
        <v>2.0437407914465684</v>
      </c>
      <c r="G52" s="12" t="s">
        <v>6</v>
      </c>
      <c r="H52" s="2" t="s">
        <v>470</v>
      </c>
    </row>
    <row r="53" spans="2:8" x14ac:dyDescent="0.35">
      <c r="C53" s="2" t="s">
        <v>289</v>
      </c>
      <c r="D53" s="2" t="s">
        <v>564</v>
      </c>
      <c r="E53" s="3">
        <v>5.075783500446132</v>
      </c>
      <c r="F53" s="3">
        <v>0.78335043003628713</v>
      </c>
      <c r="G53" s="11" t="s">
        <v>19</v>
      </c>
      <c r="H53" s="2" t="s">
        <v>471</v>
      </c>
    </row>
    <row r="54" spans="2:8" x14ac:dyDescent="0.35">
      <c r="B54" s="2" t="s">
        <v>302</v>
      </c>
      <c r="C54" s="2" t="s">
        <v>303</v>
      </c>
      <c r="D54" s="2" t="s">
        <v>512</v>
      </c>
      <c r="E54" s="3">
        <v>6.4783815452047913</v>
      </c>
      <c r="F54" s="3">
        <v>0.54350055485710036</v>
      </c>
      <c r="G54" s="11" t="s">
        <v>19</v>
      </c>
    </row>
    <row r="55" spans="2:8" x14ac:dyDescent="0.35">
      <c r="C55" s="2" t="s">
        <v>304</v>
      </c>
      <c r="D55" s="2" t="s">
        <v>565</v>
      </c>
      <c r="E55" s="3">
        <v>6.4054824337615912</v>
      </c>
      <c r="F55" s="3">
        <v>0.65064575329587881</v>
      </c>
      <c r="G55" s="11" t="s">
        <v>19</v>
      </c>
      <c r="H55" s="2" t="s">
        <v>472</v>
      </c>
    </row>
    <row r="56" spans="2:8" x14ac:dyDescent="0.35">
      <c r="B56" s="2" t="s">
        <v>309</v>
      </c>
      <c r="C56" s="2" t="s">
        <v>310</v>
      </c>
      <c r="D56" s="2" t="s">
        <v>513</v>
      </c>
      <c r="E56" s="3">
        <v>4.4444821923622007</v>
      </c>
      <c r="F56" s="3">
        <v>3.2716652457349995</v>
      </c>
      <c r="G56" s="12" t="s">
        <v>6</v>
      </c>
    </row>
    <row r="57" spans="2:8" x14ac:dyDescent="0.35">
      <c r="C57" s="2" t="s">
        <v>311</v>
      </c>
      <c r="D57" s="2" t="s">
        <v>514</v>
      </c>
      <c r="E57" s="3">
        <v>4.6499999999999986</v>
      </c>
      <c r="F57" s="3">
        <v>2.1666666666666665</v>
      </c>
      <c r="G57" s="12" t="s">
        <v>6</v>
      </c>
    </row>
    <row r="58" spans="2:8" x14ac:dyDescent="0.35">
      <c r="B58" s="2" t="s">
        <v>313</v>
      </c>
      <c r="C58" s="2" t="s">
        <v>314</v>
      </c>
      <c r="D58" s="2" t="s">
        <v>515</v>
      </c>
      <c r="E58" s="9">
        <v>6.0516000000000005</v>
      </c>
      <c r="F58" s="9">
        <v>0.99350000000000049</v>
      </c>
      <c r="G58" s="11" t="s">
        <v>19</v>
      </c>
    </row>
    <row r="59" spans="2:8" x14ac:dyDescent="0.35">
      <c r="D59" s="2" t="s">
        <v>516</v>
      </c>
      <c r="E59" s="3">
        <v>5.1503575531300703</v>
      </c>
      <c r="F59" s="3">
        <v>4.192915946534999</v>
      </c>
      <c r="G59" s="12" t="s">
        <v>6</v>
      </c>
    </row>
    <row r="60" spans="2:8" x14ac:dyDescent="0.35">
      <c r="D60" s="2" t="s">
        <v>545</v>
      </c>
      <c r="E60" s="3">
        <v>5.3740678676866684</v>
      </c>
      <c r="F60" s="3">
        <v>3.7182634088011111</v>
      </c>
      <c r="G60" s="12" t="s">
        <v>6</v>
      </c>
      <c r="H60" s="2" t="s">
        <v>473</v>
      </c>
    </row>
    <row r="61" spans="2:8" x14ac:dyDescent="0.35">
      <c r="C61" s="2" t="s">
        <v>325</v>
      </c>
      <c r="D61" s="2" t="s">
        <v>517</v>
      </c>
      <c r="E61" s="9">
        <v>4.7001698254853181</v>
      </c>
      <c r="F61" s="9">
        <v>5.9879023944444452</v>
      </c>
      <c r="G61" s="10" t="s">
        <v>8</v>
      </c>
    </row>
    <row r="62" spans="2:8" x14ac:dyDescent="0.35">
      <c r="D62" s="2" t="s">
        <v>518</v>
      </c>
      <c r="E62" s="3">
        <v>4.5873494151709524</v>
      </c>
      <c r="F62" s="3">
        <v>5.52749534298498</v>
      </c>
      <c r="G62" s="10" t="s">
        <v>8</v>
      </c>
    </row>
    <row r="63" spans="2:8" x14ac:dyDescent="0.35">
      <c r="D63" s="2" t="s">
        <v>519</v>
      </c>
      <c r="E63" s="9">
        <v>2.6666970508120045</v>
      </c>
      <c r="F63" s="9">
        <v>7.1212948372000007</v>
      </c>
      <c r="G63" s="10" t="s">
        <v>8</v>
      </c>
    </row>
    <row r="64" spans="2:8" x14ac:dyDescent="0.35">
      <c r="D64" s="2" t="s">
        <v>520</v>
      </c>
      <c r="E64" s="9">
        <v>4.4559193700000002</v>
      </c>
      <c r="F64" s="9">
        <v>5.6937833329999998</v>
      </c>
      <c r="G64" s="10" t="s">
        <v>8</v>
      </c>
    </row>
    <row r="65" spans="2:8" x14ac:dyDescent="0.35">
      <c r="D65" s="2" t="s">
        <v>521</v>
      </c>
      <c r="E65" s="3">
        <v>4.9959320891342243</v>
      </c>
      <c r="F65" s="3">
        <v>7.3025636460711114</v>
      </c>
      <c r="G65" s="10" t="s">
        <v>8</v>
      </c>
    </row>
    <row r="66" spans="2:8" ht="16.75" x14ac:dyDescent="0.5">
      <c r="D66" s="2" t="s">
        <v>522</v>
      </c>
      <c r="E66" s="9">
        <v>7.9853748798952982</v>
      </c>
      <c r="F66" s="9">
        <v>4.0528458809999997</v>
      </c>
      <c r="G66" s="13" t="s">
        <v>605</v>
      </c>
    </row>
    <row r="67" spans="2:8" x14ac:dyDescent="0.35">
      <c r="D67" s="2" t="s">
        <v>546</v>
      </c>
      <c r="E67" s="3">
        <v>4.3811730925261658</v>
      </c>
      <c r="F67" s="3">
        <v>5.6954082315908012</v>
      </c>
      <c r="G67" s="10" t="s">
        <v>8</v>
      </c>
      <c r="H67" s="2" t="s">
        <v>474</v>
      </c>
    </row>
    <row r="68" spans="2:8" x14ac:dyDescent="0.35">
      <c r="D68" s="2" t="s">
        <v>547</v>
      </c>
      <c r="E68" s="3">
        <v>4.3811730925261658</v>
      </c>
      <c r="F68" s="3">
        <v>5.6954082315908012</v>
      </c>
      <c r="G68" s="10" t="s">
        <v>8</v>
      </c>
      <c r="H68" s="2" t="s">
        <v>474</v>
      </c>
    </row>
    <row r="69" spans="2:8" x14ac:dyDescent="0.35">
      <c r="D69" s="2" t="s">
        <v>548</v>
      </c>
      <c r="E69" s="3">
        <v>4.3811730925261658</v>
      </c>
      <c r="F69" s="3">
        <v>5.6954082315908012</v>
      </c>
      <c r="G69" s="10" t="s">
        <v>8</v>
      </c>
      <c r="H69" s="2" t="s">
        <v>474</v>
      </c>
    </row>
    <row r="70" spans="2:8" x14ac:dyDescent="0.35">
      <c r="B70" s="2" t="s">
        <v>355</v>
      </c>
      <c r="C70" s="2" t="s">
        <v>357</v>
      </c>
      <c r="D70" s="2" t="s">
        <v>523</v>
      </c>
      <c r="E70" s="3">
        <v>3.7992700105862705</v>
      </c>
      <c r="F70" s="3">
        <v>1.3051212494689775</v>
      </c>
      <c r="G70" s="11" t="s">
        <v>19</v>
      </c>
    </row>
    <row r="71" spans="2:8" x14ac:dyDescent="0.35">
      <c r="B71" s="2" t="s">
        <v>365</v>
      </c>
      <c r="C71" s="2" t="s">
        <v>366</v>
      </c>
      <c r="D71" s="2" t="s">
        <v>524</v>
      </c>
      <c r="E71" s="9">
        <v>3.9030496082953334</v>
      </c>
      <c r="F71" s="9">
        <v>-4.8019494933340123E-3</v>
      </c>
      <c r="G71" s="11" t="s">
        <v>19</v>
      </c>
    </row>
    <row r="72" spans="2:8" x14ac:dyDescent="0.35">
      <c r="B72" s="2" t="s">
        <v>371</v>
      </c>
      <c r="C72" s="2" t="s">
        <v>372</v>
      </c>
      <c r="D72" s="2" t="s">
        <v>525</v>
      </c>
      <c r="E72" s="9">
        <v>4.0499999999999972</v>
      </c>
      <c r="F72" s="9">
        <v>3.2</v>
      </c>
      <c r="G72" s="12" t="s">
        <v>6</v>
      </c>
    </row>
    <row r="73" spans="2:8" x14ac:dyDescent="0.35">
      <c r="D73" s="15" t="s">
        <v>549</v>
      </c>
      <c r="E73" s="9">
        <v>4.0499999999999972</v>
      </c>
      <c r="F73" s="9">
        <v>3.2</v>
      </c>
      <c r="G73" s="12" t="s">
        <v>6</v>
      </c>
      <c r="H73" s="2" t="s">
        <v>475</v>
      </c>
    </row>
    <row r="74" spans="2:8" x14ac:dyDescent="0.35">
      <c r="C74" s="2" t="s">
        <v>377</v>
      </c>
      <c r="D74" s="2" t="s">
        <v>526</v>
      </c>
      <c r="E74" s="3">
        <v>3.4884546050914715</v>
      </c>
      <c r="F74" s="3">
        <v>-3.7475128641467328</v>
      </c>
      <c r="G74" s="14" t="s">
        <v>82</v>
      </c>
    </row>
    <row r="75" spans="2:8" x14ac:dyDescent="0.35">
      <c r="C75" s="2" t="s">
        <v>382</v>
      </c>
      <c r="D75" s="2" t="s">
        <v>527</v>
      </c>
      <c r="E75" s="3">
        <v>4.5880993317769292</v>
      </c>
      <c r="F75" s="3">
        <v>3.3548562486636189</v>
      </c>
      <c r="G75" s="12" t="s">
        <v>6</v>
      </c>
    </row>
    <row r="76" spans="2:8" x14ac:dyDescent="0.35">
      <c r="D76" s="2" t="s">
        <v>550</v>
      </c>
      <c r="E76" s="3">
        <v>4.5017126129158704</v>
      </c>
      <c r="F76" s="3">
        <v>3.4647881497888093</v>
      </c>
      <c r="G76" s="12" t="s">
        <v>6</v>
      </c>
      <c r="H76" s="2" t="s">
        <v>476</v>
      </c>
    </row>
    <row r="77" spans="2:8" x14ac:dyDescent="0.35">
      <c r="C77" s="2" t="s">
        <v>396</v>
      </c>
      <c r="D77" s="2" t="s">
        <v>551</v>
      </c>
      <c r="E77" s="3">
        <v>3.0499999999999989</v>
      </c>
      <c r="F77" s="3">
        <v>1.6</v>
      </c>
      <c r="G77" s="11" t="s">
        <v>19</v>
      </c>
      <c r="H77" s="2" t="s">
        <v>477</v>
      </c>
    </row>
    <row r="78" spans="2:8" x14ac:dyDescent="0.35">
      <c r="C78" s="2" t="s">
        <v>402</v>
      </c>
      <c r="D78" s="2" t="s">
        <v>528</v>
      </c>
      <c r="E78" s="3">
        <v>3.0273244442857141</v>
      </c>
      <c r="F78" s="3">
        <v>3.1377678572857146</v>
      </c>
      <c r="G78" s="12" t="s">
        <v>6</v>
      </c>
    </row>
    <row r="79" spans="2:8" x14ac:dyDescent="0.35">
      <c r="D79" s="2" t="s">
        <v>552</v>
      </c>
      <c r="E79" s="3">
        <v>3.5352218419359405</v>
      </c>
      <c r="F79" s="3">
        <v>3.0172987948387191</v>
      </c>
      <c r="G79" s="12" t="s">
        <v>6</v>
      </c>
      <c r="H79" s="2" t="s">
        <v>478</v>
      </c>
    </row>
    <row r="80" spans="2:8" x14ac:dyDescent="0.35">
      <c r="D80" s="2" t="s">
        <v>553</v>
      </c>
      <c r="E80" s="3">
        <v>3.5352218419359405</v>
      </c>
      <c r="F80" s="3">
        <v>3.0172987948387191</v>
      </c>
      <c r="G80" s="12" t="s">
        <v>6</v>
      </c>
      <c r="H80" s="2" t="s">
        <v>478</v>
      </c>
    </row>
    <row r="81" spans="1:8" x14ac:dyDescent="0.35">
      <c r="D81" s="2" t="s">
        <v>554</v>
      </c>
      <c r="E81" s="3">
        <v>3.5352218419359405</v>
      </c>
      <c r="F81" s="3">
        <v>3.0172987948387191</v>
      </c>
      <c r="G81" s="12" t="s">
        <v>6</v>
      </c>
      <c r="H81" s="2" t="s">
        <v>478</v>
      </c>
    </row>
    <row r="82" spans="1:8" x14ac:dyDescent="0.35">
      <c r="D82" s="2" t="s">
        <v>555</v>
      </c>
      <c r="E82" s="3">
        <v>3.5352218419359405</v>
      </c>
      <c r="F82" s="3">
        <v>3.0172987948387191</v>
      </c>
      <c r="G82" s="12" t="s">
        <v>6</v>
      </c>
      <c r="H82" s="2" t="s">
        <v>478</v>
      </c>
    </row>
    <row r="83" spans="1:8" x14ac:dyDescent="0.35">
      <c r="C83" s="2" t="s">
        <v>416</v>
      </c>
      <c r="D83" s="2" t="s">
        <v>529</v>
      </c>
      <c r="E83" s="3">
        <v>3.9859932230699808</v>
      </c>
      <c r="F83" s="3">
        <v>2.6634648215433332</v>
      </c>
      <c r="G83" s="12" t="s">
        <v>6</v>
      </c>
    </row>
    <row r="84" spans="1:8" x14ac:dyDescent="0.35">
      <c r="D84" s="2" t="s">
        <v>556</v>
      </c>
      <c r="E84" s="3">
        <v>3.9859932230699808</v>
      </c>
      <c r="F84" s="3">
        <v>2.6634648215433332</v>
      </c>
      <c r="G84" s="12" t="s">
        <v>6</v>
      </c>
      <c r="H84" s="2" t="s">
        <v>479</v>
      </c>
    </row>
    <row r="85" spans="1:8" x14ac:dyDescent="0.35">
      <c r="D85" s="2" t="s">
        <v>557</v>
      </c>
      <c r="E85" s="3">
        <v>3.9859932230699808</v>
      </c>
      <c r="F85" s="3">
        <v>2.6634648215433332</v>
      </c>
      <c r="G85" s="12" t="s">
        <v>6</v>
      </c>
      <c r="H85" s="2" t="s">
        <v>479</v>
      </c>
    </row>
    <row r="86" spans="1:8" x14ac:dyDescent="0.35">
      <c r="D86" s="2" t="s">
        <v>558</v>
      </c>
      <c r="E86" s="3">
        <v>3.9859932230699808</v>
      </c>
      <c r="F86" s="3">
        <v>2.6634648215433332</v>
      </c>
      <c r="G86" s="12" t="s">
        <v>6</v>
      </c>
      <c r="H86" s="2" t="s">
        <v>479</v>
      </c>
    </row>
    <row r="87" spans="1:8" x14ac:dyDescent="0.35">
      <c r="B87" s="2" t="s">
        <v>422</v>
      </c>
      <c r="C87" s="2" t="s">
        <v>423</v>
      </c>
      <c r="D87" s="2" t="s">
        <v>530</v>
      </c>
      <c r="E87" s="3">
        <v>3.9798262157156423</v>
      </c>
      <c r="F87" s="3">
        <v>5.1132273439111113</v>
      </c>
      <c r="G87" s="10" t="s">
        <v>8</v>
      </c>
    </row>
    <row r="88" spans="1:8" x14ac:dyDescent="0.35">
      <c r="B88" s="2" t="s">
        <v>431</v>
      </c>
      <c r="C88" s="2" t="s">
        <v>433</v>
      </c>
      <c r="D88" s="2" t="s">
        <v>531</v>
      </c>
      <c r="E88" s="3">
        <v>4.0303486046514658</v>
      </c>
      <c r="F88" s="3">
        <v>3.3708623112693332</v>
      </c>
      <c r="G88" s="12" t="s">
        <v>6</v>
      </c>
    </row>
    <row r="89" spans="1:8" x14ac:dyDescent="0.35">
      <c r="D89" s="2" t="s">
        <v>532</v>
      </c>
      <c r="E89" s="3">
        <v>4.151869865036085</v>
      </c>
      <c r="F89" s="3">
        <v>2.9318469849548858</v>
      </c>
      <c r="G89" s="12" t="s">
        <v>6</v>
      </c>
    </row>
    <row r="90" spans="1:8" x14ac:dyDescent="0.35">
      <c r="D90" s="15" t="s">
        <v>559</v>
      </c>
      <c r="E90" s="3">
        <v>4.3952940872826796</v>
      </c>
      <c r="F90" s="3">
        <v>3.4376818933320443</v>
      </c>
      <c r="G90" s="12" t="s">
        <v>6</v>
      </c>
      <c r="H90" s="2" t="s">
        <v>480</v>
      </c>
    </row>
    <row r="91" spans="1:8" x14ac:dyDescent="0.35">
      <c r="C91" s="2" t="s">
        <v>452</v>
      </c>
      <c r="D91" s="15" t="s">
        <v>566</v>
      </c>
      <c r="E91" s="3">
        <v>4.3795989014971024</v>
      </c>
      <c r="F91" s="3">
        <v>3.4268781709078611</v>
      </c>
      <c r="G91" s="12" t="s">
        <v>6</v>
      </c>
      <c r="H91" s="2" t="s">
        <v>481</v>
      </c>
    </row>
    <row r="92" spans="1:8" x14ac:dyDescent="0.35">
      <c r="D92" s="15" t="s">
        <v>567</v>
      </c>
      <c r="E92" s="3">
        <v>4.3795989014971024</v>
      </c>
      <c r="F92" s="3">
        <v>3.4268781709078611</v>
      </c>
      <c r="G92" s="12" t="s">
        <v>6</v>
      </c>
      <c r="H92" s="2" t="s">
        <v>481</v>
      </c>
    </row>
    <row r="94" spans="1:8" x14ac:dyDescent="0.35">
      <c r="A94" s="2" t="s">
        <v>611</v>
      </c>
    </row>
    <row r="95" spans="1:8" x14ac:dyDescent="0.35">
      <c r="A95" s="2" t="s">
        <v>612</v>
      </c>
    </row>
    <row r="96" spans="1:8" x14ac:dyDescent="0.35">
      <c r="A96" s="2" t="s">
        <v>613</v>
      </c>
    </row>
    <row r="97" spans="1:1" x14ac:dyDescent="0.35">
      <c r="A97" s="2" t="s">
        <v>606</v>
      </c>
    </row>
  </sheetData>
  <phoneticPr fontId="2" type="noConversion"/>
  <conditionalFormatting sqref="D2:D55">
    <cfRule type="duplicateValues" dxfId="2" priority="44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D07F-75E0-4576-A50B-A1782788F9CE}">
  <dimension ref="A1:L54"/>
  <sheetViews>
    <sheetView zoomScale="85" zoomScaleNormal="85" workbookViewId="0">
      <selection sqref="A1:XFD1048576"/>
    </sheetView>
  </sheetViews>
  <sheetFormatPr defaultRowHeight="14.15" x14ac:dyDescent="0.35"/>
  <cols>
    <col min="1" max="1" width="9.140625" style="2"/>
    <col min="2" max="2" width="16.42578125" style="2" customWidth="1"/>
    <col min="3" max="3" width="21.42578125" style="2" customWidth="1"/>
    <col min="4" max="4" width="19.5" style="2" customWidth="1"/>
    <col min="5" max="5" width="20.2109375" style="2" customWidth="1"/>
    <col min="6" max="6" width="30.85546875" style="2" customWidth="1"/>
    <col min="7" max="8" width="9.140625" style="2"/>
    <col min="9" max="9" width="44.5" style="2" customWidth="1"/>
    <col min="10" max="11" width="9.140625" style="2"/>
    <col min="12" max="12" width="13.42578125" style="2" customWidth="1"/>
    <col min="13" max="16384" width="9.140625" style="2"/>
  </cols>
  <sheetData>
    <row r="1" spans="1:12" ht="18" customHeight="1" x14ac:dyDescent="0.35">
      <c r="A1" s="15" t="s">
        <v>606</v>
      </c>
    </row>
    <row r="2" spans="1:12" ht="16.3" thickBot="1" x14ac:dyDescent="0.4">
      <c r="B2" s="17" t="s">
        <v>24</v>
      </c>
      <c r="C2" s="17" t="s">
        <v>1</v>
      </c>
      <c r="D2" s="17" t="s">
        <v>23</v>
      </c>
      <c r="E2" s="17" t="s">
        <v>34</v>
      </c>
      <c r="F2" s="17" t="s">
        <v>35</v>
      </c>
      <c r="G2" s="18" t="s">
        <v>607</v>
      </c>
      <c r="H2" s="19" t="s">
        <v>608</v>
      </c>
      <c r="I2" s="17" t="s">
        <v>36</v>
      </c>
      <c r="J2" s="19" t="s">
        <v>609</v>
      </c>
      <c r="K2" s="19" t="s">
        <v>610</v>
      </c>
      <c r="L2" s="17" t="s">
        <v>4</v>
      </c>
    </row>
    <row r="3" spans="1:12" x14ac:dyDescent="0.35">
      <c r="B3" s="20" t="s">
        <v>5</v>
      </c>
      <c r="C3" s="21" t="s">
        <v>37</v>
      </c>
      <c r="D3" s="21"/>
      <c r="E3" s="21"/>
      <c r="F3" s="21"/>
      <c r="G3" s="22">
        <v>4.2372662323236261</v>
      </c>
      <c r="H3" s="22">
        <v>5.782707294146749</v>
      </c>
      <c r="I3" s="21" t="s">
        <v>12</v>
      </c>
      <c r="J3" s="22">
        <v>4.2372662323236261</v>
      </c>
      <c r="K3" s="22">
        <v>5.782707294146749</v>
      </c>
      <c r="L3" s="23" t="s">
        <v>8</v>
      </c>
    </row>
    <row r="4" spans="1:12" x14ac:dyDescent="0.35">
      <c r="B4" s="24" t="s">
        <v>5</v>
      </c>
      <c r="C4" s="4" t="s">
        <v>7</v>
      </c>
      <c r="D4" s="4" t="s">
        <v>25</v>
      </c>
      <c r="E4" s="4" t="s">
        <v>26</v>
      </c>
      <c r="F4" s="4" t="s">
        <v>17</v>
      </c>
      <c r="G4" s="25">
        <v>5.1760496082953331</v>
      </c>
      <c r="H4" s="25">
        <v>4.017198050506666</v>
      </c>
      <c r="I4" s="4" t="s">
        <v>15</v>
      </c>
      <c r="J4" s="25">
        <v>3.201703918301499</v>
      </c>
      <c r="K4" s="25">
        <v>1.4518993501688886</v>
      </c>
      <c r="L4" s="26" t="s">
        <v>19</v>
      </c>
    </row>
    <row r="5" spans="1:12" x14ac:dyDescent="0.35">
      <c r="B5" s="24" t="s">
        <v>5</v>
      </c>
      <c r="C5" s="4" t="s">
        <v>7</v>
      </c>
      <c r="D5" s="4" t="s">
        <v>25</v>
      </c>
      <c r="E5" s="4" t="s">
        <v>26</v>
      </c>
      <c r="F5" s="4" t="s">
        <v>17</v>
      </c>
      <c r="G5" s="25"/>
      <c r="H5" s="25">
        <v>1.21</v>
      </c>
      <c r="I5" s="4" t="s">
        <v>18</v>
      </c>
      <c r="J5" s="25"/>
      <c r="K5" s="25"/>
      <c r="L5" s="27"/>
    </row>
    <row r="6" spans="1:12" x14ac:dyDescent="0.35">
      <c r="B6" s="24" t="s">
        <v>5</v>
      </c>
      <c r="C6" s="4" t="s">
        <v>7</v>
      </c>
      <c r="D6" s="4" t="s">
        <v>25</v>
      </c>
      <c r="E6" s="4" t="s">
        <v>26</v>
      </c>
      <c r="F6" s="4" t="s">
        <v>17</v>
      </c>
      <c r="G6" s="25">
        <v>1.2273582283076649</v>
      </c>
      <c r="H6" s="25">
        <v>-0.87149999999999983</v>
      </c>
      <c r="I6" s="4" t="s">
        <v>16</v>
      </c>
      <c r="J6" s="25"/>
      <c r="K6" s="25"/>
      <c r="L6" s="27"/>
    </row>
    <row r="7" spans="1:12" x14ac:dyDescent="0.35">
      <c r="B7" s="24" t="s">
        <v>5</v>
      </c>
      <c r="C7" s="4" t="s">
        <v>7</v>
      </c>
      <c r="D7" s="4" t="s">
        <v>27</v>
      </c>
      <c r="E7" s="4" t="s">
        <v>28</v>
      </c>
      <c r="F7" s="4" t="s">
        <v>29</v>
      </c>
      <c r="G7" s="25">
        <v>4.9310808000000002</v>
      </c>
      <c r="H7" s="25">
        <v>5.1287833329999994</v>
      </c>
      <c r="I7" s="4" t="s">
        <v>30</v>
      </c>
      <c r="J7" s="25">
        <v>4.9310808000000002</v>
      </c>
      <c r="K7" s="25">
        <v>5.1287833329999994</v>
      </c>
      <c r="L7" s="28" t="s">
        <v>8</v>
      </c>
    </row>
    <row r="8" spans="1:12" x14ac:dyDescent="0.35">
      <c r="B8" s="24" t="s">
        <v>5</v>
      </c>
      <c r="C8" s="4" t="s">
        <v>7</v>
      </c>
      <c r="D8" s="4" t="s">
        <v>27</v>
      </c>
      <c r="E8" s="4" t="s">
        <v>31</v>
      </c>
      <c r="F8" s="4" t="s">
        <v>9</v>
      </c>
      <c r="G8" s="25">
        <v>4.4814999999999969</v>
      </c>
      <c r="H8" s="25">
        <v>7.5762499999999999</v>
      </c>
      <c r="I8" s="4" t="s">
        <v>10</v>
      </c>
      <c r="J8" s="25">
        <v>4.4814999999999969</v>
      </c>
      <c r="K8" s="25">
        <v>7.5762499999999999</v>
      </c>
      <c r="L8" s="28" t="s">
        <v>8</v>
      </c>
    </row>
    <row r="9" spans="1:12" x14ac:dyDescent="0.35">
      <c r="B9" s="24" t="s">
        <v>5</v>
      </c>
      <c r="C9" s="4" t="s">
        <v>7</v>
      </c>
      <c r="D9" s="4" t="s">
        <v>27</v>
      </c>
      <c r="E9" s="4" t="s">
        <v>31</v>
      </c>
      <c r="F9" s="4" t="s">
        <v>11</v>
      </c>
      <c r="G9" s="25">
        <v>3.9993602170132729</v>
      </c>
      <c r="H9" s="25">
        <v>7.6444882322700414</v>
      </c>
      <c r="I9" s="4" t="s">
        <v>12</v>
      </c>
      <c r="J9" s="25">
        <v>4.2612625310736556</v>
      </c>
      <c r="K9" s="25">
        <v>5.6161259696187429</v>
      </c>
      <c r="L9" s="28" t="s">
        <v>8</v>
      </c>
    </row>
    <row r="10" spans="1:12" x14ac:dyDescent="0.35">
      <c r="B10" s="24" t="s">
        <v>5</v>
      </c>
      <c r="C10" s="4" t="s">
        <v>7</v>
      </c>
      <c r="D10" s="4" t="s">
        <v>27</v>
      </c>
      <c r="E10" s="4" t="s">
        <v>31</v>
      </c>
      <c r="F10" s="4" t="s">
        <v>11</v>
      </c>
      <c r="G10" s="25">
        <v>4.3209372099534349</v>
      </c>
      <c r="H10" s="25">
        <v>5.8858510307714287</v>
      </c>
      <c r="I10" s="4" t="s">
        <v>13</v>
      </c>
      <c r="J10" s="25"/>
      <c r="K10" s="25"/>
      <c r="L10" s="27"/>
    </row>
    <row r="11" spans="1:12" x14ac:dyDescent="0.35">
      <c r="B11" s="24" t="s">
        <v>5</v>
      </c>
      <c r="C11" s="4" t="s">
        <v>7</v>
      </c>
      <c r="D11" s="4" t="s">
        <v>27</v>
      </c>
      <c r="E11" s="4" t="s">
        <v>31</v>
      </c>
      <c r="F11" s="4" t="s">
        <v>11</v>
      </c>
      <c r="G11" s="25">
        <v>4.9507801453710591</v>
      </c>
      <c r="H11" s="25">
        <v>5.7953018374976555</v>
      </c>
      <c r="I11" s="4" t="s">
        <v>14</v>
      </c>
      <c r="J11" s="25"/>
      <c r="K11" s="25"/>
      <c r="L11" s="27"/>
    </row>
    <row r="12" spans="1:12" x14ac:dyDescent="0.35">
      <c r="B12" s="24" t="s">
        <v>5</v>
      </c>
      <c r="C12" s="4" t="s">
        <v>7</v>
      </c>
      <c r="D12" s="4" t="s">
        <v>27</v>
      </c>
      <c r="E12" s="4" t="s">
        <v>31</v>
      </c>
      <c r="F12" s="4" t="s">
        <v>11</v>
      </c>
      <c r="G12" s="25">
        <v>5.168049608295334</v>
      </c>
      <c r="H12" s="25">
        <v>4.7921980505066664</v>
      </c>
      <c r="I12" s="4" t="s">
        <v>15</v>
      </c>
      <c r="J12" s="25"/>
      <c r="K12" s="25"/>
      <c r="L12" s="27"/>
    </row>
    <row r="13" spans="1:12" x14ac:dyDescent="0.35">
      <c r="B13" s="24" t="s">
        <v>5</v>
      </c>
      <c r="C13" s="4" t="s">
        <v>7</v>
      </c>
      <c r="D13" s="4" t="s">
        <v>27</v>
      </c>
      <c r="E13" s="4" t="s">
        <v>31</v>
      </c>
      <c r="F13" s="4" t="s">
        <v>11</v>
      </c>
      <c r="G13" s="25">
        <v>2.8157813391421698</v>
      </c>
      <c r="H13" s="25">
        <v>3.4329999999999998</v>
      </c>
      <c r="I13" s="4" t="s">
        <v>16</v>
      </c>
      <c r="J13" s="25"/>
      <c r="K13" s="25"/>
      <c r="L13" s="27"/>
    </row>
    <row r="14" spans="1:12" x14ac:dyDescent="0.35">
      <c r="B14" s="24" t="s">
        <v>5</v>
      </c>
      <c r="C14" s="4" t="s">
        <v>7</v>
      </c>
      <c r="D14" s="4" t="s">
        <v>27</v>
      </c>
      <c r="E14" s="4" t="s">
        <v>31</v>
      </c>
      <c r="F14" s="4" t="s">
        <v>11</v>
      </c>
      <c r="G14" s="25">
        <v>4.3126666666666651</v>
      </c>
      <c r="H14" s="25">
        <v>6.1459166666666665</v>
      </c>
      <c r="I14" s="4" t="s">
        <v>10</v>
      </c>
      <c r="J14" s="25"/>
      <c r="K14" s="25"/>
      <c r="L14" s="27"/>
    </row>
    <row r="15" spans="1:12" x14ac:dyDescent="0.35">
      <c r="B15" s="24" t="s">
        <v>5</v>
      </c>
      <c r="C15" s="4" t="s">
        <v>7</v>
      </c>
      <c r="D15" s="4" t="s">
        <v>27</v>
      </c>
      <c r="E15" s="4" t="s">
        <v>32</v>
      </c>
      <c r="F15" s="4" t="s">
        <v>33</v>
      </c>
      <c r="G15" s="25">
        <v>4.7656687499999997</v>
      </c>
      <c r="H15" s="25">
        <v>4.4292833329999999</v>
      </c>
      <c r="I15" s="4" t="s">
        <v>30</v>
      </c>
      <c r="J15" s="25">
        <v>4.7656687499999997</v>
      </c>
      <c r="K15" s="25">
        <v>4.4292833329999999</v>
      </c>
      <c r="L15" s="29" t="s">
        <v>6</v>
      </c>
    </row>
    <row r="16" spans="1:12" x14ac:dyDescent="0.35">
      <c r="B16" s="24" t="s">
        <v>5</v>
      </c>
      <c r="C16" s="4" t="s">
        <v>38</v>
      </c>
      <c r="D16" s="4" t="s">
        <v>39</v>
      </c>
      <c r="E16" s="4" t="s">
        <v>40</v>
      </c>
      <c r="F16" s="4" t="s">
        <v>41</v>
      </c>
      <c r="G16" s="25">
        <v>3.910208786666665</v>
      </c>
      <c r="H16" s="25">
        <v>1.3583535086666665</v>
      </c>
      <c r="I16" s="4" t="s">
        <v>30</v>
      </c>
      <c r="J16" s="25">
        <v>3.910208786666665</v>
      </c>
      <c r="K16" s="25">
        <v>1.3583535086666665</v>
      </c>
      <c r="L16" s="26" t="s">
        <v>19</v>
      </c>
    </row>
    <row r="17" spans="2:12" x14ac:dyDescent="0.35">
      <c r="B17" s="24" t="s">
        <v>5</v>
      </c>
      <c r="C17" s="4" t="s">
        <v>38</v>
      </c>
      <c r="D17" s="4" t="s">
        <v>39</v>
      </c>
      <c r="E17" s="4" t="s">
        <v>40</v>
      </c>
      <c r="F17" s="4" t="s">
        <v>20</v>
      </c>
      <c r="G17" s="25">
        <v>3.9169326250000012</v>
      </c>
      <c r="H17" s="25">
        <v>3.5082833330000005</v>
      </c>
      <c r="I17" s="4" t="s">
        <v>30</v>
      </c>
      <c r="J17" s="25">
        <v>3.9169326250000012</v>
      </c>
      <c r="K17" s="25">
        <v>3.5082833330000005</v>
      </c>
      <c r="L17" s="29" t="s">
        <v>6</v>
      </c>
    </row>
    <row r="18" spans="2:12" ht="14.6" thickBot="1" x14ac:dyDescent="0.4">
      <c r="B18" s="30" t="s">
        <v>5</v>
      </c>
      <c r="C18" s="31" t="s">
        <v>38</v>
      </c>
      <c r="D18" s="31" t="s">
        <v>39</v>
      </c>
      <c r="E18" s="31" t="s">
        <v>40</v>
      </c>
      <c r="F18" s="31" t="s">
        <v>21</v>
      </c>
      <c r="G18" s="32">
        <v>3.0499999999999972</v>
      </c>
      <c r="H18" s="32">
        <v>1.5</v>
      </c>
      <c r="I18" s="31" t="s">
        <v>22</v>
      </c>
      <c r="J18" s="32">
        <v>3.0499999999999972</v>
      </c>
      <c r="K18" s="32">
        <v>1.5</v>
      </c>
      <c r="L18" s="33" t="s">
        <v>19</v>
      </c>
    </row>
    <row r="19" spans="2:12" x14ac:dyDescent="0.35">
      <c r="B19" s="2" t="s">
        <v>43</v>
      </c>
      <c r="C19" s="2" t="s">
        <v>53</v>
      </c>
      <c r="D19" s="2" t="s">
        <v>54</v>
      </c>
      <c r="E19" s="2" t="s">
        <v>483</v>
      </c>
      <c r="G19" s="34">
        <f>AVERAGE(G3:G18)</f>
        <v>4.0842426811356818</v>
      </c>
      <c r="H19" s="34">
        <f>AVERAGE(H3:H18)</f>
        <v>4.208507166877034</v>
      </c>
      <c r="L19" s="12" t="s">
        <v>6</v>
      </c>
    </row>
    <row r="20" spans="2:12" ht="14.6" thickBot="1" x14ac:dyDescent="0.4"/>
    <row r="21" spans="2:12" x14ac:dyDescent="0.35">
      <c r="B21" s="20" t="s">
        <v>58</v>
      </c>
      <c r="C21" s="21" t="s">
        <v>62</v>
      </c>
      <c r="D21" s="21" t="s">
        <v>63</v>
      </c>
      <c r="E21" s="21" t="s">
        <v>64</v>
      </c>
      <c r="F21" s="21" t="s">
        <v>65</v>
      </c>
      <c r="G21" s="22">
        <v>6.8830496082953339</v>
      </c>
      <c r="H21" s="22">
        <v>1.3651980505066661</v>
      </c>
      <c r="I21" s="21" t="s">
        <v>66</v>
      </c>
      <c r="J21" s="22">
        <v>6.8830496082953339</v>
      </c>
      <c r="K21" s="22">
        <v>1.3651980505066661</v>
      </c>
      <c r="L21" s="35" t="s">
        <v>19</v>
      </c>
    </row>
    <row r="22" spans="2:12" ht="16.75" x14ac:dyDescent="0.5">
      <c r="B22" s="24" t="s">
        <v>58</v>
      </c>
      <c r="C22" s="4" t="s">
        <v>67</v>
      </c>
      <c r="D22" s="4" t="s">
        <v>68</v>
      </c>
      <c r="E22" s="4" t="s">
        <v>69</v>
      </c>
      <c r="F22" s="4" t="s">
        <v>70</v>
      </c>
      <c r="G22" s="25">
        <v>7.0377758975148907</v>
      </c>
      <c r="H22" s="25">
        <v>3.6974672590929831</v>
      </c>
      <c r="I22" s="4" t="s">
        <v>12</v>
      </c>
      <c r="J22" s="25">
        <v>7.0377758975148907</v>
      </c>
      <c r="K22" s="25">
        <v>3.6974672590929831</v>
      </c>
      <c r="L22" s="36" t="s">
        <v>604</v>
      </c>
    </row>
    <row r="23" spans="2:12" x14ac:dyDescent="0.35">
      <c r="B23" s="24" t="s">
        <v>58</v>
      </c>
      <c r="C23" s="4" t="s">
        <v>71</v>
      </c>
      <c r="D23" s="4" t="s">
        <v>72</v>
      </c>
      <c r="E23" s="4" t="s">
        <v>73</v>
      </c>
      <c r="F23" s="4" t="s">
        <v>74</v>
      </c>
      <c r="G23" s="25">
        <v>6.4004846306190117</v>
      </c>
      <c r="H23" s="25">
        <v>1.0293654404399986</v>
      </c>
      <c r="I23" s="4" t="s">
        <v>75</v>
      </c>
      <c r="J23" s="25">
        <v>6.4004846306190117</v>
      </c>
      <c r="K23" s="25">
        <v>1.0293654404399986</v>
      </c>
      <c r="L23" s="26" t="s">
        <v>19</v>
      </c>
    </row>
    <row r="24" spans="2:12" x14ac:dyDescent="0.35">
      <c r="B24" s="24" t="s">
        <v>58</v>
      </c>
      <c r="C24" s="4" t="s">
        <v>71</v>
      </c>
      <c r="D24" s="4" t="s">
        <v>72</v>
      </c>
      <c r="E24" s="4" t="s">
        <v>76</v>
      </c>
      <c r="F24" s="4" t="s">
        <v>77</v>
      </c>
      <c r="G24" s="25">
        <v>5.9470496082953339</v>
      </c>
      <c r="H24" s="25">
        <v>2.8181980505066657</v>
      </c>
      <c r="I24" s="4" t="s">
        <v>15</v>
      </c>
      <c r="J24" s="25">
        <v>5.9470496082953339</v>
      </c>
      <c r="K24" s="25">
        <v>2.8181980505066657</v>
      </c>
      <c r="L24" s="29" t="s">
        <v>6</v>
      </c>
    </row>
    <row r="25" spans="2:12" x14ac:dyDescent="0.35">
      <c r="B25" s="24" t="s">
        <v>58</v>
      </c>
      <c r="C25" s="4" t="s">
        <v>67</v>
      </c>
      <c r="D25" s="4" t="s">
        <v>68</v>
      </c>
      <c r="E25" s="4" t="s">
        <v>78</v>
      </c>
      <c r="F25" s="4" t="s">
        <v>79</v>
      </c>
      <c r="G25" s="25">
        <v>6.312419762120097</v>
      </c>
      <c r="H25" s="25">
        <v>3.7999803439999997</v>
      </c>
      <c r="I25" s="4" t="s">
        <v>13</v>
      </c>
      <c r="J25" s="25">
        <v>6.312419762120097</v>
      </c>
      <c r="K25" s="25">
        <v>3.7999803439999997</v>
      </c>
      <c r="L25" s="29" t="s">
        <v>6</v>
      </c>
    </row>
    <row r="26" spans="2:12" ht="16.75" x14ac:dyDescent="0.5">
      <c r="B26" s="24" t="s">
        <v>58</v>
      </c>
      <c r="C26" s="4" t="s">
        <v>67</v>
      </c>
      <c r="D26" s="4" t="s">
        <v>68</v>
      </c>
      <c r="E26" s="4" t="s">
        <v>78</v>
      </c>
      <c r="F26" s="4" t="s">
        <v>80</v>
      </c>
      <c r="G26" s="25">
        <v>7.0846287274449011</v>
      </c>
      <c r="H26" s="25">
        <v>3.00341066871857</v>
      </c>
      <c r="I26" s="4" t="s">
        <v>12</v>
      </c>
      <c r="J26" s="25">
        <v>7.0846287274449011</v>
      </c>
      <c r="K26" s="25">
        <v>3.00341066871857</v>
      </c>
      <c r="L26" s="36" t="s">
        <v>604</v>
      </c>
    </row>
    <row r="27" spans="2:12" x14ac:dyDescent="0.35">
      <c r="B27" s="24" t="s">
        <v>58</v>
      </c>
      <c r="C27" s="4" t="s">
        <v>67</v>
      </c>
      <c r="D27" s="4" t="s">
        <v>68</v>
      </c>
      <c r="E27" s="4" t="s">
        <v>78</v>
      </c>
      <c r="F27" s="37" t="s">
        <v>81</v>
      </c>
      <c r="G27" s="25">
        <v>6.7933367563923106</v>
      </c>
      <c r="H27" s="25">
        <v>-4.7</v>
      </c>
      <c r="I27" s="4" t="s">
        <v>16</v>
      </c>
      <c r="J27" s="25">
        <v>6.7933367563923106</v>
      </c>
      <c r="K27" s="25">
        <v>-4.7</v>
      </c>
      <c r="L27" s="38" t="s">
        <v>82</v>
      </c>
    </row>
    <row r="28" spans="2:12" ht="16.75" x14ac:dyDescent="0.5">
      <c r="B28" s="24" t="s">
        <v>58</v>
      </c>
      <c r="C28" s="4" t="s">
        <v>67</v>
      </c>
      <c r="D28" s="4" t="s">
        <v>68</v>
      </c>
      <c r="E28" s="4" t="s">
        <v>78</v>
      </c>
      <c r="F28" s="4" t="s">
        <v>83</v>
      </c>
      <c r="G28" s="25">
        <v>8.8009197621200919</v>
      </c>
      <c r="H28" s="25">
        <v>2.8209803440000001</v>
      </c>
      <c r="I28" s="4" t="s">
        <v>13</v>
      </c>
      <c r="J28" s="25">
        <v>8.8009197621200919</v>
      </c>
      <c r="K28" s="25">
        <v>2.8209803440000001</v>
      </c>
      <c r="L28" s="36" t="s">
        <v>604</v>
      </c>
    </row>
    <row r="29" spans="2:12" x14ac:dyDescent="0.35">
      <c r="B29" s="24" t="s">
        <v>58</v>
      </c>
      <c r="C29" s="4" t="s">
        <v>67</v>
      </c>
      <c r="D29" s="4" t="s">
        <v>68</v>
      </c>
      <c r="E29" s="4" t="s">
        <v>78</v>
      </c>
      <c r="F29" s="37" t="s">
        <v>84</v>
      </c>
      <c r="G29" s="25">
        <v>5.0699626575385146</v>
      </c>
      <c r="H29" s="25">
        <v>-1.4283333333333332</v>
      </c>
      <c r="I29" s="4" t="s">
        <v>16</v>
      </c>
      <c r="J29" s="25">
        <v>5.0699626575385146</v>
      </c>
      <c r="K29" s="25">
        <v>-1.4283333333333332</v>
      </c>
      <c r="L29" s="26" t="s">
        <v>19</v>
      </c>
    </row>
    <row r="30" spans="2:12" ht="16.75" x14ac:dyDescent="0.5">
      <c r="B30" s="24" t="s">
        <v>58</v>
      </c>
      <c r="C30" s="4" t="s">
        <v>67</v>
      </c>
      <c r="D30" s="4" t="s">
        <v>68</v>
      </c>
      <c r="E30" s="4" t="s">
        <v>78</v>
      </c>
      <c r="F30" s="4" t="s">
        <v>85</v>
      </c>
      <c r="G30" s="25">
        <v>8.7872335760349536</v>
      </c>
      <c r="H30" s="25">
        <v>1.9882000000000002</v>
      </c>
      <c r="I30" s="4" t="s">
        <v>86</v>
      </c>
      <c r="J30" s="25">
        <v>8.6030917273420719</v>
      </c>
      <c r="K30" s="25">
        <v>2.3222291666666672</v>
      </c>
      <c r="L30" s="36" t="s">
        <v>604</v>
      </c>
    </row>
    <row r="31" spans="2:12" x14ac:dyDescent="0.35">
      <c r="B31" s="24" t="s">
        <v>58</v>
      </c>
      <c r="C31" s="4" t="s">
        <v>67</v>
      </c>
      <c r="D31" s="4" t="s">
        <v>68</v>
      </c>
      <c r="E31" s="4" t="s">
        <v>78</v>
      </c>
      <c r="F31" s="4" t="s">
        <v>85</v>
      </c>
      <c r="G31" s="25">
        <v>8.8949999999999996</v>
      </c>
      <c r="H31" s="25">
        <v>3.8415000000000004</v>
      </c>
      <c r="I31" s="4" t="s">
        <v>87</v>
      </c>
      <c r="J31" s="25"/>
      <c r="K31" s="25"/>
      <c r="L31" s="27"/>
    </row>
    <row r="32" spans="2:12" x14ac:dyDescent="0.35">
      <c r="B32" s="24" t="s">
        <v>58</v>
      </c>
      <c r="C32" s="4" t="s">
        <v>67</v>
      </c>
      <c r="D32" s="4" t="s">
        <v>68</v>
      </c>
      <c r="E32" s="4" t="s">
        <v>78</v>
      </c>
      <c r="F32" s="4" t="s">
        <v>85</v>
      </c>
      <c r="G32" s="25">
        <v>8.4660000000000011</v>
      </c>
      <c r="H32" s="25">
        <v>2.0132000000000003</v>
      </c>
      <c r="I32" s="4" t="s">
        <v>88</v>
      </c>
      <c r="J32" s="25"/>
      <c r="K32" s="25"/>
      <c r="L32" s="27"/>
    </row>
    <row r="33" spans="2:12" x14ac:dyDescent="0.35">
      <c r="B33" s="24" t="s">
        <v>58</v>
      </c>
      <c r="C33" s="4" t="s">
        <v>67</v>
      </c>
      <c r="D33" s="4" t="s">
        <v>68</v>
      </c>
      <c r="E33" s="4" t="s">
        <v>78</v>
      </c>
      <c r="F33" s="4" t="s">
        <v>85</v>
      </c>
      <c r="G33" s="25">
        <v>8.26413333333333</v>
      </c>
      <c r="H33" s="25">
        <v>1.4460166666666669</v>
      </c>
      <c r="I33" s="4" t="s">
        <v>10</v>
      </c>
      <c r="J33" s="25"/>
      <c r="K33" s="25"/>
      <c r="L33" s="27"/>
    </row>
    <row r="34" spans="2:12" x14ac:dyDescent="0.35">
      <c r="B34" s="24" t="s">
        <v>58</v>
      </c>
      <c r="C34" s="4" t="s">
        <v>71</v>
      </c>
      <c r="D34" s="4" t="s">
        <v>72</v>
      </c>
      <c r="E34" s="4" t="s">
        <v>89</v>
      </c>
      <c r="F34" s="4" t="s">
        <v>90</v>
      </c>
      <c r="G34" s="25">
        <v>6.6130496082953307</v>
      </c>
      <c r="H34" s="25">
        <v>0.7351980505066662</v>
      </c>
      <c r="I34" s="4" t="s">
        <v>66</v>
      </c>
      <c r="J34" s="25">
        <v>5.5074156312049816</v>
      </c>
      <c r="K34" s="25">
        <v>2.5589184391135498</v>
      </c>
      <c r="L34" s="29" t="s">
        <v>6</v>
      </c>
    </row>
    <row r="35" spans="2:12" x14ac:dyDescent="0.35">
      <c r="B35" s="24" t="s">
        <v>58</v>
      </c>
      <c r="C35" s="4" t="s">
        <v>71</v>
      </c>
      <c r="D35" s="4" t="s">
        <v>72</v>
      </c>
      <c r="E35" s="4" t="s">
        <v>89</v>
      </c>
      <c r="F35" s="4" t="s">
        <v>90</v>
      </c>
      <c r="G35" s="25">
        <v>4.4017816541146333</v>
      </c>
      <c r="H35" s="25">
        <v>4.3826388277204336</v>
      </c>
      <c r="I35" s="4" t="s">
        <v>12</v>
      </c>
      <c r="J35" s="25"/>
      <c r="K35" s="25"/>
      <c r="L35" s="27"/>
    </row>
    <row r="36" spans="2:12" x14ac:dyDescent="0.35">
      <c r="B36" s="24" t="s">
        <v>58</v>
      </c>
      <c r="C36" s="4" t="s">
        <v>71</v>
      </c>
      <c r="D36" s="4" t="s">
        <v>72</v>
      </c>
      <c r="E36" s="4" t="s">
        <v>89</v>
      </c>
      <c r="F36" s="4" t="s">
        <v>91</v>
      </c>
      <c r="G36" s="25">
        <v>5.7385056282842228</v>
      </c>
      <c r="H36" s="25">
        <v>3.4399539455066668</v>
      </c>
      <c r="I36" s="4" t="s">
        <v>13</v>
      </c>
      <c r="J36" s="25">
        <v>6.0503801067802598</v>
      </c>
      <c r="K36" s="25">
        <v>2.3467173320044439</v>
      </c>
      <c r="L36" s="29" t="s">
        <v>6</v>
      </c>
    </row>
    <row r="37" spans="2:12" x14ac:dyDescent="0.35">
      <c r="B37" s="24" t="s">
        <v>58</v>
      </c>
      <c r="C37" s="4" t="s">
        <v>71</v>
      </c>
      <c r="D37" s="4" t="s">
        <v>72</v>
      </c>
      <c r="E37" s="4" t="s">
        <v>89</v>
      </c>
      <c r="F37" s="4" t="s">
        <v>91</v>
      </c>
      <c r="G37" s="25">
        <v>6.3030496082953338</v>
      </c>
      <c r="H37" s="25">
        <v>3.8021980505066657</v>
      </c>
      <c r="I37" s="4" t="s">
        <v>15</v>
      </c>
      <c r="J37" s="25"/>
      <c r="K37" s="25"/>
      <c r="L37" s="27"/>
    </row>
    <row r="38" spans="2:12" x14ac:dyDescent="0.35">
      <c r="B38" s="24" t="s">
        <v>58</v>
      </c>
      <c r="C38" s="4" t="s">
        <v>71</v>
      </c>
      <c r="D38" s="4" t="s">
        <v>72</v>
      </c>
      <c r="E38" s="4" t="s">
        <v>89</v>
      </c>
      <c r="F38" s="4" t="s">
        <v>91</v>
      </c>
      <c r="G38" s="25">
        <v>6.1095850837612211</v>
      </c>
      <c r="H38" s="25">
        <v>-0.20199999999999999</v>
      </c>
      <c r="I38" s="4" t="s">
        <v>16</v>
      </c>
      <c r="J38" s="25"/>
      <c r="K38" s="25"/>
      <c r="L38" s="27"/>
    </row>
    <row r="39" spans="2:12" x14ac:dyDescent="0.35">
      <c r="B39" s="24" t="s">
        <v>58</v>
      </c>
      <c r="C39" s="4" t="s">
        <v>67</v>
      </c>
      <c r="D39" s="4" t="s">
        <v>68</v>
      </c>
      <c r="E39" s="4" t="s">
        <v>92</v>
      </c>
      <c r="F39" s="4" t="s">
        <v>93</v>
      </c>
      <c r="G39" s="25">
        <v>3.4378107359839198</v>
      </c>
      <c r="H39" s="25">
        <v>4.2885690611111107</v>
      </c>
      <c r="I39" s="4" t="s">
        <v>94</v>
      </c>
      <c r="J39" s="25">
        <v>3.4378107359839198</v>
      </c>
      <c r="K39" s="25">
        <v>4.2885690611111107</v>
      </c>
      <c r="L39" s="29" t="s">
        <v>6</v>
      </c>
    </row>
    <row r="40" spans="2:12" ht="16.75" x14ac:dyDescent="0.5">
      <c r="B40" s="24" t="s">
        <v>58</v>
      </c>
      <c r="C40" s="4" t="s">
        <v>67</v>
      </c>
      <c r="D40" s="4" t="s">
        <v>68</v>
      </c>
      <c r="E40" s="4" t="s">
        <v>92</v>
      </c>
      <c r="F40" s="4" t="s">
        <v>95</v>
      </c>
      <c r="G40" s="25">
        <v>7.7588071013319961</v>
      </c>
      <c r="H40" s="25">
        <v>1.3085985518600003</v>
      </c>
      <c r="I40" s="4" t="s">
        <v>96</v>
      </c>
      <c r="J40" s="25">
        <v>7.3784617239693109</v>
      </c>
      <c r="K40" s="25">
        <v>0.76246739751715498</v>
      </c>
      <c r="L40" s="36" t="s">
        <v>604</v>
      </c>
    </row>
    <row r="41" spans="2:12" x14ac:dyDescent="0.35">
      <c r="B41" s="24" t="s">
        <v>58</v>
      </c>
      <c r="C41" s="4" t="s">
        <v>67</v>
      </c>
      <c r="D41" s="4" t="s">
        <v>68</v>
      </c>
      <c r="E41" s="4" t="s">
        <v>92</v>
      </c>
      <c r="F41" s="4" t="s">
        <v>95</v>
      </c>
      <c r="G41" s="25">
        <v>6.9170634405072953</v>
      </c>
      <c r="H41" s="25">
        <v>-0.94289247735042703</v>
      </c>
      <c r="I41" s="4" t="s">
        <v>94</v>
      </c>
      <c r="J41" s="25"/>
      <c r="K41" s="25"/>
      <c r="L41" s="27"/>
    </row>
    <row r="42" spans="2:12" x14ac:dyDescent="0.35">
      <c r="B42" s="24" t="s">
        <v>58</v>
      </c>
      <c r="C42" s="4" t="s">
        <v>67</v>
      </c>
      <c r="D42" s="4" t="s">
        <v>68</v>
      </c>
      <c r="E42" s="4" t="s">
        <v>92</v>
      </c>
      <c r="F42" s="4" t="s">
        <v>95</v>
      </c>
      <c r="G42" s="25">
        <v>8.2588071013319961</v>
      </c>
      <c r="H42" s="25">
        <v>2.3085985518600003</v>
      </c>
      <c r="I42" s="4" t="s">
        <v>13</v>
      </c>
      <c r="J42" s="25"/>
      <c r="K42" s="25"/>
      <c r="L42" s="27"/>
    </row>
    <row r="43" spans="2:12" x14ac:dyDescent="0.35">
      <c r="B43" s="24" t="s">
        <v>58</v>
      </c>
      <c r="C43" s="4" t="s">
        <v>67</v>
      </c>
      <c r="D43" s="4" t="s">
        <v>68</v>
      </c>
      <c r="E43" s="4" t="s">
        <v>92</v>
      </c>
      <c r="F43" s="4" t="s">
        <v>95</v>
      </c>
      <c r="G43" s="25">
        <v>7.2067381496518976</v>
      </c>
      <c r="H43" s="25">
        <v>0.25005243907717789</v>
      </c>
      <c r="I43" s="4" t="s">
        <v>14</v>
      </c>
      <c r="J43" s="25"/>
      <c r="K43" s="25"/>
      <c r="L43" s="27"/>
    </row>
    <row r="44" spans="2:12" x14ac:dyDescent="0.35">
      <c r="B44" s="24" t="s">
        <v>58</v>
      </c>
      <c r="C44" s="4" t="s">
        <v>67</v>
      </c>
      <c r="D44" s="4" t="s">
        <v>68</v>
      </c>
      <c r="E44" s="4" t="s">
        <v>92</v>
      </c>
      <c r="F44" s="4" t="s">
        <v>95</v>
      </c>
      <c r="G44" s="25">
        <v>7.716049608295334</v>
      </c>
      <c r="H44" s="25">
        <v>-0.28180194949333415</v>
      </c>
      <c r="I44" s="4" t="s">
        <v>15</v>
      </c>
      <c r="J44" s="25"/>
      <c r="K44" s="25"/>
      <c r="L44" s="27"/>
    </row>
    <row r="45" spans="2:12" x14ac:dyDescent="0.35">
      <c r="B45" s="24" t="s">
        <v>58</v>
      </c>
      <c r="C45" s="4" t="s">
        <v>67</v>
      </c>
      <c r="D45" s="4" t="s">
        <v>68</v>
      </c>
      <c r="E45" s="4" t="s">
        <v>92</v>
      </c>
      <c r="F45" s="4" t="s">
        <v>95</v>
      </c>
      <c r="G45" s="25">
        <v>6.0073000000000008</v>
      </c>
      <c r="H45" s="25">
        <v>0.55670000000000019</v>
      </c>
      <c r="I45" s="4" t="s">
        <v>88</v>
      </c>
      <c r="J45" s="25"/>
      <c r="K45" s="25"/>
      <c r="L45" s="27"/>
    </row>
    <row r="46" spans="2:12" x14ac:dyDescent="0.35">
      <c r="B46" s="24" t="s">
        <v>58</v>
      </c>
      <c r="C46" s="4" t="s">
        <v>67</v>
      </c>
      <c r="D46" s="4" t="s">
        <v>68</v>
      </c>
      <c r="E46" s="4" t="s">
        <v>92</v>
      </c>
      <c r="F46" s="4" t="s">
        <v>95</v>
      </c>
      <c r="G46" s="25">
        <v>7.7844666666666633</v>
      </c>
      <c r="H46" s="25">
        <v>2.1380166666666671</v>
      </c>
      <c r="I46" s="4" t="s">
        <v>10</v>
      </c>
      <c r="J46" s="25"/>
      <c r="K46" s="25"/>
      <c r="L46" s="27"/>
    </row>
    <row r="47" spans="2:12" ht="16.75" x14ac:dyDescent="0.5">
      <c r="B47" s="24" t="s">
        <v>58</v>
      </c>
      <c r="C47" s="4" t="s">
        <v>67</v>
      </c>
      <c r="D47" s="4" t="s">
        <v>68</v>
      </c>
      <c r="E47" s="4" t="s">
        <v>92</v>
      </c>
      <c r="F47" s="4" t="s">
        <v>97</v>
      </c>
      <c r="G47" s="25">
        <v>7.5136700663579639</v>
      </c>
      <c r="H47" s="25">
        <v>6.860235727777777</v>
      </c>
      <c r="I47" s="4" t="s">
        <v>94</v>
      </c>
      <c r="J47" s="25">
        <v>7.5136700663579639</v>
      </c>
      <c r="K47" s="25">
        <v>6.860235727777777</v>
      </c>
      <c r="L47" s="36" t="s">
        <v>604</v>
      </c>
    </row>
    <row r="48" spans="2:12" x14ac:dyDescent="0.35">
      <c r="B48" s="24" t="s">
        <v>58</v>
      </c>
      <c r="C48" s="4" t="s">
        <v>67</v>
      </c>
      <c r="D48" s="4" t="s">
        <v>68</v>
      </c>
      <c r="E48" s="4" t="s">
        <v>92</v>
      </c>
      <c r="F48" s="4" t="s">
        <v>98</v>
      </c>
      <c r="G48" s="25">
        <v>6.7370496082953331</v>
      </c>
      <c r="H48" s="25">
        <v>1.8741980505066658</v>
      </c>
      <c r="I48" s="4" t="s">
        <v>15</v>
      </c>
      <c r="J48" s="25">
        <v>5.902006677494489</v>
      </c>
      <c r="K48" s="25">
        <v>-0.17690097474666722</v>
      </c>
      <c r="L48" s="26" t="s">
        <v>19</v>
      </c>
    </row>
    <row r="49" spans="2:12" x14ac:dyDescent="0.35">
      <c r="B49" s="24" t="s">
        <v>58</v>
      </c>
      <c r="C49" s="4" t="s">
        <v>67</v>
      </c>
      <c r="D49" s="4" t="s">
        <v>68</v>
      </c>
      <c r="E49" s="4" t="s">
        <v>92</v>
      </c>
      <c r="F49" s="4" t="s">
        <v>98</v>
      </c>
      <c r="G49" s="25">
        <v>5.066963746693645</v>
      </c>
      <c r="H49" s="25">
        <v>-2.2280000000000002</v>
      </c>
      <c r="I49" s="4" t="s">
        <v>16</v>
      </c>
      <c r="J49" s="25"/>
      <c r="K49" s="25"/>
      <c r="L49" s="27"/>
    </row>
    <row r="50" spans="2:12" x14ac:dyDescent="0.35">
      <c r="B50" s="24" t="s">
        <v>58</v>
      </c>
      <c r="C50" s="4" t="s">
        <v>67</v>
      </c>
      <c r="D50" s="4" t="s">
        <v>68</v>
      </c>
      <c r="E50" s="4" t="s">
        <v>92</v>
      </c>
      <c r="F50" s="4" t="s">
        <v>99</v>
      </c>
      <c r="G50" s="25">
        <v>7.5097179543240919</v>
      </c>
      <c r="H50" s="25">
        <v>4.472256454747443</v>
      </c>
      <c r="I50" s="4" t="s">
        <v>12</v>
      </c>
      <c r="J50" s="25">
        <v>6.9099629249135459</v>
      </c>
      <c r="K50" s="25">
        <v>3.4010176633675315</v>
      </c>
      <c r="L50" s="29" t="s">
        <v>6</v>
      </c>
    </row>
    <row r="51" spans="2:12" x14ac:dyDescent="0.35">
      <c r="B51" s="24" t="s">
        <v>58</v>
      </c>
      <c r="C51" s="4" t="s">
        <v>67</v>
      </c>
      <c r="D51" s="4" t="s">
        <v>68</v>
      </c>
      <c r="E51" s="4" t="s">
        <v>92</v>
      </c>
      <c r="F51" s="4" t="s">
        <v>99</v>
      </c>
      <c r="G51" s="25">
        <v>6.1510496082953328</v>
      </c>
      <c r="H51" s="25">
        <v>3.154198050506666</v>
      </c>
      <c r="I51" s="4" t="s">
        <v>15</v>
      </c>
      <c r="J51" s="39"/>
      <c r="K51" s="39"/>
      <c r="L51" s="27"/>
    </row>
    <row r="52" spans="2:12" ht="14.6" thickBot="1" x14ac:dyDescent="0.4">
      <c r="B52" s="30" t="s">
        <v>58</v>
      </c>
      <c r="C52" s="31" t="s">
        <v>67</v>
      </c>
      <c r="D52" s="31" t="s">
        <v>68</v>
      </c>
      <c r="E52" s="31" t="s">
        <v>100</v>
      </c>
      <c r="F52" s="31" t="s">
        <v>99</v>
      </c>
      <c r="G52" s="32">
        <v>7.0691212121212139</v>
      </c>
      <c r="H52" s="32">
        <v>2.5765984848484855</v>
      </c>
      <c r="I52" s="31" t="s">
        <v>10</v>
      </c>
      <c r="J52" s="32"/>
      <c r="K52" s="32"/>
      <c r="L52" s="40"/>
    </row>
    <row r="53" spans="2:12" x14ac:dyDescent="0.35">
      <c r="B53" s="4" t="s">
        <v>59</v>
      </c>
      <c r="C53" s="4" t="s">
        <v>60</v>
      </c>
      <c r="D53" s="2" t="s">
        <v>61</v>
      </c>
      <c r="E53" s="2" t="s">
        <v>568</v>
      </c>
      <c r="G53" s="34">
        <f>AVERAGE($G$21:$G$52)</f>
        <v>6.84508065319738</v>
      </c>
      <c r="H53" s="34">
        <f>AVERAGE($H$21:$H$52)</f>
        <v>1.8808906242799028</v>
      </c>
      <c r="L53" s="12" t="s">
        <v>6</v>
      </c>
    </row>
    <row r="54" spans="2:12" x14ac:dyDescent="0.35">
      <c r="B54" s="4" t="s">
        <v>59</v>
      </c>
      <c r="C54" s="4" t="s">
        <v>101</v>
      </c>
      <c r="D54" s="2" t="s">
        <v>102</v>
      </c>
      <c r="E54" s="2" t="s">
        <v>569</v>
      </c>
      <c r="G54" s="34">
        <f>AVERAGE($G$21:$G$52)</f>
        <v>6.84508065319738</v>
      </c>
      <c r="H54" s="34">
        <f>AVERAGE($H$21:$H$52)</f>
        <v>1.8808906242799028</v>
      </c>
      <c r="L54" s="12" t="s">
        <v>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C553D-8C54-4702-B0F6-CC6AD3AC8050}">
  <dimension ref="A1:L121"/>
  <sheetViews>
    <sheetView zoomScale="85" zoomScaleNormal="85" workbookViewId="0">
      <selection activeCell="O18" sqref="O18"/>
    </sheetView>
  </sheetViews>
  <sheetFormatPr defaultRowHeight="14.15" x14ac:dyDescent="0.35"/>
  <cols>
    <col min="1" max="1" width="9.140625" style="2"/>
    <col min="2" max="2" width="15.640625" style="2" customWidth="1"/>
    <col min="3" max="3" width="19.0703125" style="2" customWidth="1"/>
    <col min="4" max="4" width="18.0703125" style="2" customWidth="1"/>
    <col min="5" max="5" width="15.78515625" style="2" customWidth="1"/>
    <col min="6" max="6" width="28.92578125" style="2" customWidth="1"/>
    <col min="7" max="8" width="9.140625" style="2"/>
    <col min="9" max="9" width="45.5703125" style="2" customWidth="1"/>
    <col min="10" max="11" width="9.140625" style="2"/>
    <col min="12" max="12" width="15.92578125" style="2" customWidth="1"/>
    <col min="13" max="16384" width="9.140625" style="2"/>
  </cols>
  <sheetData>
    <row r="1" spans="1:12" ht="18" customHeight="1" x14ac:dyDescent="0.35">
      <c r="A1" s="15" t="s">
        <v>606</v>
      </c>
    </row>
    <row r="2" spans="1:12" ht="16.3" thickBot="1" x14ac:dyDescent="0.4">
      <c r="B2" s="1" t="s">
        <v>24</v>
      </c>
      <c r="C2" s="1" t="s">
        <v>1</v>
      </c>
      <c r="D2" s="1" t="s">
        <v>23</v>
      </c>
      <c r="E2" s="1" t="s">
        <v>34</v>
      </c>
      <c r="F2" s="1" t="s">
        <v>35</v>
      </c>
      <c r="G2" s="41" t="s">
        <v>607</v>
      </c>
      <c r="H2" s="42" t="s">
        <v>608</v>
      </c>
      <c r="I2" s="1" t="s">
        <v>36</v>
      </c>
      <c r="J2" s="42" t="s">
        <v>609</v>
      </c>
      <c r="K2" s="42" t="s">
        <v>610</v>
      </c>
      <c r="L2" s="1" t="s">
        <v>4</v>
      </c>
    </row>
    <row r="3" spans="1:12" x14ac:dyDescent="0.35">
      <c r="B3" s="43" t="s">
        <v>5</v>
      </c>
      <c r="C3" s="44" t="s">
        <v>7</v>
      </c>
      <c r="D3" s="44" t="s">
        <v>25</v>
      </c>
      <c r="E3" s="44" t="s">
        <v>26</v>
      </c>
      <c r="F3" s="44" t="s">
        <v>17</v>
      </c>
      <c r="G3" s="45">
        <v>5.1760496082953331</v>
      </c>
      <c r="H3" s="45">
        <v>4.017198050506666</v>
      </c>
      <c r="I3" s="44" t="s">
        <v>15</v>
      </c>
      <c r="J3" s="45">
        <v>3.201703918301499</v>
      </c>
      <c r="K3" s="45">
        <v>1.4518993501688886</v>
      </c>
      <c r="L3" s="46" t="s">
        <v>19</v>
      </c>
    </row>
    <row r="4" spans="1:12" x14ac:dyDescent="0.35">
      <c r="B4" s="47" t="s">
        <v>5</v>
      </c>
      <c r="C4" s="2" t="s">
        <v>7</v>
      </c>
      <c r="D4" s="2" t="s">
        <v>25</v>
      </c>
      <c r="E4" s="2" t="s">
        <v>26</v>
      </c>
      <c r="F4" s="2" t="s">
        <v>17</v>
      </c>
      <c r="G4" s="34"/>
      <c r="H4" s="34">
        <v>1.21</v>
      </c>
      <c r="I4" s="2" t="s">
        <v>18</v>
      </c>
      <c r="J4" s="34"/>
      <c r="K4" s="34"/>
      <c r="L4" s="48"/>
    </row>
    <row r="5" spans="1:12" x14ac:dyDescent="0.35">
      <c r="B5" s="47" t="s">
        <v>5</v>
      </c>
      <c r="C5" s="2" t="s">
        <v>7</v>
      </c>
      <c r="D5" s="2" t="s">
        <v>25</v>
      </c>
      <c r="E5" s="2" t="s">
        <v>26</v>
      </c>
      <c r="F5" s="2" t="s">
        <v>17</v>
      </c>
      <c r="G5" s="34">
        <v>1.2273582283076649</v>
      </c>
      <c r="H5" s="34">
        <v>-0.87149999999999983</v>
      </c>
      <c r="I5" s="2" t="s">
        <v>16</v>
      </c>
      <c r="J5" s="34"/>
      <c r="K5" s="34"/>
      <c r="L5" s="48"/>
    </row>
    <row r="6" spans="1:12" x14ac:dyDescent="0.35">
      <c r="B6" s="47" t="s">
        <v>5</v>
      </c>
      <c r="C6" s="2" t="s">
        <v>7</v>
      </c>
      <c r="D6" s="2" t="s">
        <v>27</v>
      </c>
      <c r="E6" s="2" t="s">
        <v>28</v>
      </c>
      <c r="F6" s="2" t="s">
        <v>29</v>
      </c>
      <c r="G6" s="34">
        <v>4.9310808000000002</v>
      </c>
      <c r="H6" s="34">
        <v>5.1287833329999994</v>
      </c>
      <c r="I6" s="2" t="s">
        <v>30</v>
      </c>
      <c r="J6" s="34">
        <v>4.9310808000000002</v>
      </c>
      <c r="K6" s="34">
        <v>5.1287833329999994</v>
      </c>
      <c r="L6" s="49" t="s">
        <v>8</v>
      </c>
    </row>
    <row r="7" spans="1:12" x14ac:dyDescent="0.35">
      <c r="B7" s="47" t="s">
        <v>5</v>
      </c>
      <c r="C7" s="2" t="s">
        <v>7</v>
      </c>
      <c r="D7" s="2" t="s">
        <v>27</v>
      </c>
      <c r="E7" s="2" t="s">
        <v>31</v>
      </c>
      <c r="F7" s="2" t="s">
        <v>9</v>
      </c>
      <c r="G7" s="34">
        <v>4.4814999999999969</v>
      </c>
      <c r="H7" s="34">
        <v>7.5762499999999999</v>
      </c>
      <c r="I7" s="2" t="s">
        <v>10</v>
      </c>
      <c r="J7" s="34">
        <v>4.4814999999999969</v>
      </c>
      <c r="K7" s="34">
        <v>7.5762499999999999</v>
      </c>
      <c r="L7" s="49" t="s">
        <v>8</v>
      </c>
    </row>
    <row r="8" spans="1:12" x14ac:dyDescent="0.35">
      <c r="B8" s="47" t="s">
        <v>5</v>
      </c>
      <c r="C8" s="2" t="s">
        <v>7</v>
      </c>
      <c r="D8" s="2" t="s">
        <v>27</v>
      </c>
      <c r="E8" s="2" t="s">
        <v>31</v>
      </c>
      <c r="F8" s="2" t="s">
        <v>11</v>
      </c>
      <c r="G8" s="34">
        <v>3.9993602170132729</v>
      </c>
      <c r="H8" s="34">
        <v>7.6444882322700414</v>
      </c>
      <c r="I8" s="2" t="s">
        <v>12</v>
      </c>
      <c r="J8" s="34">
        <v>4.2612625310736556</v>
      </c>
      <c r="K8" s="34">
        <v>5.6161259696187429</v>
      </c>
      <c r="L8" s="49" t="s">
        <v>8</v>
      </c>
    </row>
    <row r="9" spans="1:12" x14ac:dyDescent="0.35">
      <c r="B9" s="47" t="s">
        <v>5</v>
      </c>
      <c r="C9" s="2" t="s">
        <v>7</v>
      </c>
      <c r="D9" s="2" t="s">
        <v>27</v>
      </c>
      <c r="E9" s="2" t="s">
        <v>31</v>
      </c>
      <c r="F9" s="2" t="s">
        <v>11</v>
      </c>
      <c r="G9" s="34">
        <v>4.3209372099534349</v>
      </c>
      <c r="H9" s="34">
        <v>5.8858510307714287</v>
      </c>
      <c r="I9" s="2" t="s">
        <v>13</v>
      </c>
      <c r="J9" s="34"/>
      <c r="K9" s="34"/>
      <c r="L9" s="48"/>
    </row>
    <row r="10" spans="1:12" x14ac:dyDescent="0.35">
      <c r="B10" s="47" t="s">
        <v>5</v>
      </c>
      <c r="C10" s="2" t="s">
        <v>7</v>
      </c>
      <c r="D10" s="2" t="s">
        <v>27</v>
      </c>
      <c r="E10" s="2" t="s">
        <v>31</v>
      </c>
      <c r="F10" s="2" t="s">
        <v>11</v>
      </c>
      <c r="G10" s="34">
        <v>4.9507801453710591</v>
      </c>
      <c r="H10" s="34">
        <v>5.7953018374976555</v>
      </c>
      <c r="I10" s="2" t="s">
        <v>14</v>
      </c>
      <c r="J10" s="34"/>
      <c r="K10" s="34"/>
      <c r="L10" s="48"/>
    </row>
    <row r="11" spans="1:12" x14ac:dyDescent="0.35">
      <c r="B11" s="47" t="s">
        <v>5</v>
      </c>
      <c r="C11" s="2" t="s">
        <v>7</v>
      </c>
      <c r="D11" s="2" t="s">
        <v>27</v>
      </c>
      <c r="E11" s="2" t="s">
        <v>31</v>
      </c>
      <c r="F11" s="2" t="s">
        <v>11</v>
      </c>
      <c r="G11" s="34">
        <v>5.168049608295334</v>
      </c>
      <c r="H11" s="34">
        <v>4.7921980505066664</v>
      </c>
      <c r="I11" s="2" t="s">
        <v>15</v>
      </c>
      <c r="J11" s="34"/>
      <c r="K11" s="34"/>
      <c r="L11" s="48"/>
    </row>
    <row r="12" spans="1:12" x14ac:dyDescent="0.35">
      <c r="B12" s="47" t="s">
        <v>5</v>
      </c>
      <c r="C12" s="2" t="s">
        <v>7</v>
      </c>
      <c r="D12" s="2" t="s">
        <v>27</v>
      </c>
      <c r="E12" s="2" t="s">
        <v>31</v>
      </c>
      <c r="F12" s="2" t="s">
        <v>11</v>
      </c>
      <c r="G12" s="34">
        <v>2.8157813391421698</v>
      </c>
      <c r="H12" s="34">
        <v>3.4329999999999998</v>
      </c>
      <c r="I12" s="2" t="s">
        <v>16</v>
      </c>
      <c r="J12" s="34"/>
      <c r="K12" s="34"/>
      <c r="L12" s="48"/>
    </row>
    <row r="13" spans="1:12" x14ac:dyDescent="0.35">
      <c r="B13" s="47" t="s">
        <v>5</v>
      </c>
      <c r="C13" s="2" t="s">
        <v>7</v>
      </c>
      <c r="D13" s="2" t="s">
        <v>27</v>
      </c>
      <c r="E13" s="2" t="s">
        <v>31</v>
      </c>
      <c r="F13" s="2" t="s">
        <v>11</v>
      </c>
      <c r="G13" s="34">
        <v>4.3126666666666651</v>
      </c>
      <c r="H13" s="34">
        <v>6.1459166666666665</v>
      </c>
      <c r="I13" s="2" t="s">
        <v>10</v>
      </c>
      <c r="J13" s="34"/>
      <c r="K13" s="34"/>
      <c r="L13" s="48"/>
    </row>
    <row r="14" spans="1:12" ht="14.6" thickBot="1" x14ac:dyDescent="0.4">
      <c r="B14" s="50" t="s">
        <v>5</v>
      </c>
      <c r="C14" s="51" t="s">
        <v>7</v>
      </c>
      <c r="D14" s="51" t="s">
        <v>27</v>
      </c>
      <c r="E14" s="51" t="s">
        <v>32</v>
      </c>
      <c r="F14" s="51" t="s">
        <v>33</v>
      </c>
      <c r="G14" s="52">
        <v>4.7656687499999997</v>
      </c>
      <c r="H14" s="52">
        <v>4.4292833329999999</v>
      </c>
      <c r="I14" s="51" t="s">
        <v>30</v>
      </c>
      <c r="J14" s="52">
        <v>4.7656687499999997</v>
      </c>
      <c r="K14" s="52">
        <v>4.4292833329999999</v>
      </c>
      <c r="L14" s="53" t="s">
        <v>6</v>
      </c>
    </row>
    <row r="15" spans="1:12" x14ac:dyDescent="0.35">
      <c r="C15" s="2" t="s">
        <v>44</v>
      </c>
      <c r="D15" s="2" t="s">
        <v>45</v>
      </c>
      <c r="E15" s="2" t="s">
        <v>46</v>
      </c>
      <c r="G15" s="54">
        <f>AVERAGE(G3,G5:G14)</f>
        <v>4.1953847793677204</v>
      </c>
      <c r="H15" s="54">
        <f>AVERAGE(H3:H14)</f>
        <v>4.5988975445182598</v>
      </c>
      <c r="L15" s="55" t="s">
        <v>6</v>
      </c>
    </row>
    <row r="16" spans="1:12" ht="14.6" thickBot="1" x14ac:dyDescent="0.4"/>
    <row r="17" spans="2:12" x14ac:dyDescent="0.35">
      <c r="B17" s="43" t="s">
        <v>58</v>
      </c>
      <c r="C17" s="44" t="s">
        <v>71</v>
      </c>
      <c r="D17" s="44" t="s">
        <v>72</v>
      </c>
      <c r="E17" s="44" t="s">
        <v>73</v>
      </c>
      <c r="F17" s="44" t="s">
        <v>74</v>
      </c>
      <c r="G17" s="45">
        <v>6.4004846306190117</v>
      </c>
      <c r="H17" s="45">
        <v>1.0293654404399986</v>
      </c>
      <c r="I17" s="44" t="s">
        <v>75</v>
      </c>
      <c r="J17" s="45">
        <v>6.4004846306190117</v>
      </c>
      <c r="K17" s="45">
        <v>1.0293654404399986</v>
      </c>
      <c r="L17" s="46" t="s">
        <v>19</v>
      </c>
    </row>
    <row r="18" spans="2:12" x14ac:dyDescent="0.35">
      <c r="B18" s="47" t="s">
        <v>58</v>
      </c>
      <c r="C18" s="2" t="s">
        <v>71</v>
      </c>
      <c r="D18" s="2" t="s">
        <v>72</v>
      </c>
      <c r="E18" s="2" t="s">
        <v>76</v>
      </c>
      <c r="F18" s="2" t="s">
        <v>77</v>
      </c>
      <c r="G18" s="34">
        <v>5.9470496082953339</v>
      </c>
      <c r="H18" s="34">
        <v>2.8181980505066657</v>
      </c>
      <c r="I18" s="2" t="s">
        <v>15</v>
      </c>
      <c r="J18" s="34">
        <v>5.9470496082953339</v>
      </c>
      <c r="K18" s="34">
        <v>2.8181980505066657</v>
      </c>
      <c r="L18" s="56" t="s">
        <v>6</v>
      </c>
    </row>
    <row r="19" spans="2:12" x14ac:dyDescent="0.35">
      <c r="B19" s="47" t="s">
        <v>58</v>
      </c>
      <c r="C19" s="2" t="s">
        <v>71</v>
      </c>
      <c r="D19" s="2" t="s">
        <v>72</v>
      </c>
      <c r="E19" s="2" t="s">
        <v>89</v>
      </c>
      <c r="F19" s="2" t="s">
        <v>90</v>
      </c>
      <c r="G19" s="34">
        <v>6.6130496082953307</v>
      </c>
      <c r="H19" s="34">
        <v>0.7351980505066662</v>
      </c>
      <c r="I19" s="2" t="s">
        <v>66</v>
      </c>
      <c r="J19" s="34">
        <v>5.5074156312049816</v>
      </c>
      <c r="K19" s="34">
        <v>2.5589184391135498</v>
      </c>
      <c r="L19" s="56" t="s">
        <v>6</v>
      </c>
    </row>
    <row r="20" spans="2:12" x14ac:dyDescent="0.35">
      <c r="B20" s="47" t="s">
        <v>58</v>
      </c>
      <c r="C20" s="2" t="s">
        <v>71</v>
      </c>
      <c r="D20" s="2" t="s">
        <v>72</v>
      </c>
      <c r="E20" s="2" t="s">
        <v>89</v>
      </c>
      <c r="F20" s="2" t="s">
        <v>90</v>
      </c>
      <c r="G20" s="34">
        <v>4.4017816541146333</v>
      </c>
      <c r="H20" s="34">
        <v>4.3826388277204336</v>
      </c>
      <c r="I20" s="2" t="s">
        <v>12</v>
      </c>
      <c r="J20" s="34"/>
      <c r="K20" s="34"/>
      <c r="L20" s="48"/>
    </row>
    <row r="21" spans="2:12" x14ac:dyDescent="0.35">
      <c r="B21" s="47" t="s">
        <v>58</v>
      </c>
      <c r="C21" s="2" t="s">
        <v>71</v>
      </c>
      <c r="D21" s="2" t="s">
        <v>72</v>
      </c>
      <c r="E21" s="2" t="s">
        <v>89</v>
      </c>
      <c r="F21" s="2" t="s">
        <v>91</v>
      </c>
      <c r="G21" s="34">
        <v>5.7385056282842228</v>
      </c>
      <c r="H21" s="34">
        <v>3.4399539455066668</v>
      </c>
      <c r="I21" s="2" t="s">
        <v>13</v>
      </c>
      <c r="J21" s="34">
        <v>6.0503801067802598</v>
      </c>
      <c r="K21" s="34">
        <v>2.3467173320044439</v>
      </c>
      <c r="L21" s="56" t="s">
        <v>6</v>
      </c>
    </row>
    <row r="22" spans="2:12" x14ac:dyDescent="0.35">
      <c r="B22" s="47" t="s">
        <v>58</v>
      </c>
      <c r="C22" s="2" t="s">
        <v>71</v>
      </c>
      <c r="D22" s="2" t="s">
        <v>72</v>
      </c>
      <c r="E22" s="2" t="s">
        <v>89</v>
      </c>
      <c r="F22" s="2" t="s">
        <v>91</v>
      </c>
      <c r="G22" s="34">
        <v>6.3030496082953338</v>
      </c>
      <c r="H22" s="34">
        <v>3.8021980505066657</v>
      </c>
      <c r="I22" s="2" t="s">
        <v>15</v>
      </c>
      <c r="J22" s="34"/>
      <c r="K22" s="34"/>
      <c r="L22" s="48"/>
    </row>
    <row r="23" spans="2:12" ht="14.6" thickBot="1" x14ac:dyDescent="0.4">
      <c r="B23" s="50" t="s">
        <v>58</v>
      </c>
      <c r="C23" s="51" t="s">
        <v>71</v>
      </c>
      <c r="D23" s="51" t="s">
        <v>72</v>
      </c>
      <c r="E23" s="51" t="s">
        <v>89</v>
      </c>
      <c r="F23" s="51" t="s">
        <v>91</v>
      </c>
      <c r="G23" s="52">
        <v>6.1095850837612211</v>
      </c>
      <c r="H23" s="52">
        <v>-0.20199999999999999</v>
      </c>
      <c r="I23" s="51" t="s">
        <v>16</v>
      </c>
      <c r="J23" s="52"/>
      <c r="K23" s="52"/>
      <c r="L23" s="57"/>
    </row>
    <row r="24" spans="2:12" x14ac:dyDescent="0.35">
      <c r="C24" s="2" t="s">
        <v>105</v>
      </c>
      <c r="D24" s="2" t="s">
        <v>454</v>
      </c>
      <c r="E24" s="2" t="s">
        <v>560</v>
      </c>
      <c r="G24" s="54">
        <f>AVERAGE(G17:G23)</f>
        <v>5.9305008316664418</v>
      </c>
      <c r="H24" s="54">
        <f>AVERAGE(H17:H23)</f>
        <v>2.2865074807410131</v>
      </c>
      <c r="L24" s="55" t="s">
        <v>6</v>
      </c>
    </row>
    <row r="25" spans="2:12" ht="14.6" thickBot="1" x14ac:dyDescent="0.4"/>
    <row r="26" spans="2:12" x14ac:dyDescent="0.35">
      <c r="B26" s="43" t="s">
        <v>185</v>
      </c>
      <c r="C26" s="44" t="s">
        <v>186</v>
      </c>
      <c r="D26" s="44" t="s">
        <v>187</v>
      </c>
      <c r="E26" s="44" t="s">
        <v>188</v>
      </c>
      <c r="F26" s="44" t="s">
        <v>189</v>
      </c>
      <c r="G26" s="45">
        <v>4.0876700663579584</v>
      </c>
      <c r="H26" s="45">
        <v>1.9098357277777778</v>
      </c>
      <c r="I26" s="44" t="s">
        <v>94</v>
      </c>
      <c r="J26" s="45">
        <v>4.0876700663579584</v>
      </c>
      <c r="K26" s="45">
        <v>1.9098357277777778</v>
      </c>
      <c r="L26" s="58" t="s">
        <v>6</v>
      </c>
    </row>
    <row r="27" spans="2:12" ht="14.6" thickBot="1" x14ac:dyDescent="0.4">
      <c r="B27" s="50" t="s">
        <v>185</v>
      </c>
      <c r="C27" s="51" t="s">
        <v>186</v>
      </c>
      <c r="D27" s="51" t="s">
        <v>187</v>
      </c>
      <c r="E27" s="51" t="s">
        <v>188</v>
      </c>
      <c r="F27" s="59" t="s">
        <v>190</v>
      </c>
      <c r="G27" s="52">
        <v>2.8039285010410033</v>
      </c>
      <c r="H27" s="52">
        <v>-0.51314285714285723</v>
      </c>
      <c r="I27" s="51" t="s">
        <v>16</v>
      </c>
      <c r="J27" s="52">
        <v>2.8039285010410033</v>
      </c>
      <c r="K27" s="52">
        <v>-0.51314285714285723</v>
      </c>
      <c r="L27" s="60" t="s">
        <v>19</v>
      </c>
    </row>
    <row r="28" spans="2:12" x14ac:dyDescent="0.35">
      <c r="C28" s="2" t="s">
        <v>191</v>
      </c>
      <c r="D28" s="2" t="s">
        <v>193</v>
      </c>
      <c r="E28" s="2" t="s">
        <v>561</v>
      </c>
      <c r="G28" s="54">
        <f>AVERAGE(G26:G27)</f>
        <v>3.4457992836994809</v>
      </c>
      <c r="H28" s="54">
        <f>AVERAGE(H26:H27)</f>
        <v>0.69834643531746021</v>
      </c>
      <c r="L28" s="61" t="s">
        <v>19</v>
      </c>
    </row>
    <row r="29" spans="2:12" ht="14.6" thickBot="1" x14ac:dyDescent="0.4"/>
    <row r="30" spans="2:12" x14ac:dyDescent="0.35">
      <c r="B30" s="43" t="s">
        <v>185</v>
      </c>
      <c r="C30" s="44" t="s">
        <v>219</v>
      </c>
      <c r="D30" s="44" t="s">
        <v>261</v>
      </c>
      <c r="E30" s="44" t="s">
        <v>262</v>
      </c>
      <c r="F30" s="44" t="s">
        <v>263</v>
      </c>
      <c r="G30" s="45">
        <v>6.5920653174191344</v>
      </c>
      <c r="H30" s="45">
        <v>5.3574166666666674</v>
      </c>
      <c r="I30" s="44" t="s">
        <v>10</v>
      </c>
      <c r="J30" s="45">
        <v>6.5920653174191344</v>
      </c>
      <c r="K30" s="45">
        <v>5.3574166666666674</v>
      </c>
      <c r="L30" s="62" t="s">
        <v>8</v>
      </c>
    </row>
    <row r="31" spans="2:12" x14ac:dyDescent="0.35">
      <c r="B31" s="47" t="s">
        <v>185</v>
      </c>
      <c r="C31" s="2" t="s">
        <v>219</v>
      </c>
      <c r="D31" s="2" t="s">
        <v>264</v>
      </c>
      <c r="E31" s="2" t="s">
        <v>265</v>
      </c>
      <c r="F31" s="2" t="s">
        <v>266</v>
      </c>
      <c r="G31" s="34">
        <v>4.1959108992954732</v>
      </c>
      <c r="H31" s="34">
        <v>0.80800000000000027</v>
      </c>
      <c r="I31" s="2" t="s">
        <v>86</v>
      </c>
      <c r="J31" s="34">
        <v>3.8255792938913964</v>
      </c>
      <c r="K31" s="34">
        <v>0.80316666666666681</v>
      </c>
      <c r="L31" s="63" t="s">
        <v>19</v>
      </c>
    </row>
    <row r="32" spans="2:12" x14ac:dyDescent="0.35">
      <c r="B32" s="47" t="s">
        <v>185</v>
      </c>
      <c r="C32" s="2" t="s">
        <v>219</v>
      </c>
      <c r="D32" s="2" t="s">
        <v>264</v>
      </c>
      <c r="E32" s="2" t="s">
        <v>265</v>
      </c>
      <c r="F32" s="2" t="s">
        <v>266</v>
      </c>
      <c r="G32" s="34">
        <v>4.5365196850393623</v>
      </c>
      <c r="H32" s="34">
        <v>3.7140000000000004</v>
      </c>
      <c r="I32" s="2" t="s">
        <v>123</v>
      </c>
      <c r="J32" s="34"/>
      <c r="K32" s="34"/>
      <c r="L32" s="48"/>
    </row>
    <row r="33" spans="2:12" x14ac:dyDescent="0.35">
      <c r="B33" s="47" t="s">
        <v>185</v>
      </c>
      <c r="C33" s="2" t="s">
        <v>219</v>
      </c>
      <c r="D33" s="2" t="s">
        <v>264</v>
      </c>
      <c r="E33" s="2" t="s">
        <v>265</v>
      </c>
      <c r="F33" s="2" t="s">
        <v>266</v>
      </c>
      <c r="G33" s="34">
        <v>2.7443072973393541</v>
      </c>
      <c r="H33" s="34">
        <v>-2.1125000000000003</v>
      </c>
      <c r="I33" s="2" t="s">
        <v>16</v>
      </c>
      <c r="J33" s="34"/>
      <c r="K33" s="34"/>
      <c r="L33" s="48"/>
    </row>
    <row r="34" spans="2:12" x14ac:dyDescent="0.35">
      <c r="B34" s="47" t="s">
        <v>185</v>
      </c>
      <c r="C34" s="2" t="s">
        <v>219</v>
      </c>
      <c r="D34" s="2" t="s">
        <v>227</v>
      </c>
      <c r="E34" s="2" t="s">
        <v>225</v>
      </c>
      <c r="F34" s="2" t="s">
        <v>228</v>
      </c>
      <c r="G34" s="34">
        <v>4.6265146600000016</v>
      </c>
      <c r="H34" s="34">
        <v>4.1342833329999999</v>
      </c>
      <c r="I34" s="2" t="s">
        <v>30</v>
      </c>
      <c r="J34" s="34">
        <v>4.6265146600000016</v>
      </c>
      <c r="K34" s="34">
        <v>4.1342833329999999</v>
      </c>
      <c r="L34" s="56" t="s">
        <v>6</v>
      </c>
    </row>
    <row r="35" spans="2:12" ht="14.6" thickBot="1" x14ac:dyDescent="0.4">
      <c r="B35" s="50" t="s">
        <v>185</v>
      </c>
      <c r="C35" s="51" t="s">
        <v>219</v>
      </c>
      <c r="D35" s="51" t="s">
        <v>223</v>
      </c>
      <c r="E35" s="51" t="s">
        <v>222</v>
      </c>
      <c r="F35" s="51" t="s">
        <v>224</v>
      </c>
      <c r="G35" s="52">
        <v>4.2776400599999995</v>
      </c>
      <c r="H35" s="52">
        <v>3.1631447366000001</v>
      </c>
      <c r="I35" s="51" t="s">
        <v>30</v>
      </c>
      <c r="J35" s="52">
        <v>4.2776400599999995</v>
      </c>
      <c r="K35" s="52">
        <v>3.1631447366000001</v>
      </c>
      <c r="L35" s="53" t="s">
        <v>6</v>
      </c>
    </row>
    <row r="36" spans="2:12" x14ac:dyDescent="0.35">
      <c r="C36" s="2" t="s">
        <v>220</v>
      </c>
      <c r="D36" s="2" t="s">
        <v>260</v>
      </c>
      <c r="E36" s="2" t="s">
        <v>562</v>
      </c>
      <c r="G36" s="34">
        <f>AVERAGE(G30:G35)</f>
        <v>4.4954929865155542</v>
      </c>
      <c r="H36" s="34">
        <f>AVERAGE(H30:H35)</f>
        <v>2.5107241227111108</v>
      </c>
      <c r="L36" s="55" t="s">
        <v>6</v>
      </c>
    </row>
    <row r="37" spans="2:12" x14ac:dyDescent="0.35">
      <c r="C37" s="2" t="s">
        <v>220</v>
      </c>
      <c r="D37" s="2" t="s">
        <v>267</v>
      </c>
      <c r="E37" s="2" t="s">
        <v>563</v>
      </c>
      <c r="G37" s="34"/>
      <c r="H37" s="34"/>
      <c r="L37" s="55"/>
    </row>
    <row r="38" spans="2:12" ht="14.6" thickBot="1" x14ac:dyDescent="0.4"/>
    <row r="39" spans="2:12" x14ac:dyDescent="0.35">
      <c r="B39" s="43" t="s">
        <v>185</v>
      </c>
      <c r="C39" s="44" t="s">
        <v>229</v>
      </c>
      <c r="D39" s="44" t="s">
        <v>230</v>
      </c>
      <c r="E39" s="44" t="s">
        <v>290</v>
      </c>
      <c r="F39" s="44" t="s">
        <v>291</v>
      </c>
      <c r="G39" s="45">
        <v>3.4900496082953336</v>
      </c>
      <c r="H39" s="45">
        <v>1.6941980505066661</v>
      </c>
      <c r="I39" s="44" t="s">
        <v>15</v>
      </c>
      <c r="J39" s="45">
        <v>3.4900496082953336</v>
      </c>
      <c r="K39" s="45">
        <v>1.6941980505066661</v>
      </c>
      <c r="L39" s="46" t="s">
        <v>19</v>
      </c>
    </row>
    <row r="40" spans="2:12" x14ac:dyDescent="0.35">
      <c r="B40" s="47" t="s">
        <v>185</v>
      </c>
      <c r="C40" s="2" t="s">
        <v>229</v>
      </c>
      <c r="D40" s="2" t="s">
        <v>277</v>
      </c>
      <c r="E40" s="2" t="s">
        <v>278</v>
      </c>
      <c r="F40" s="2" t="s">
        <v>279</v>
      </c>
      <c r="G40" s="34">
        <v>4.3934986301124752</v>
      </c>
      <c r="H40" s="34">
        <v>1.7514644493309679</v>
      </c>
      <c r="I40" s="2" t="s">
        <v>96</v>
      </c>
      <c r="J40" s="34">
        <v>4.3338916498133973</v>
      </c>
      <c r="K40" s="34">
        <v>0.222671650949749</v>
      </c>
      <c r="L40" s="63" t="s">
        <v>19</v>
      </c>
    </row>
    <row r="41" spans="2:12" x14ac:dyDescent="0.35">
      <c r="B41" s="47" t="s">
        <v>185</v>
      </c>
      <c r="C41" s="2" t="s">
        <v>229</v>
      </c>
      <c r="D41" s="2" t="s">
        <v>277</v>
      </c>
      <c r="E41" s="2" t="s">
        <v>278</v>
      </c>
      <c r="F41" s="2" t="s">
        <v>279</v>
      </c>
      <c r="G41" s="34">
        <v>5.7659593821510313</v>
      </c>
      <c r="H41" s="34">
        <v>0.20674999999999999</v>
      </c>
      <c r="I41" s="2" t="s">
        <v>86</v>
      </c>
      <c r="J41" s="34"/>
      <c r="K41" s="34"/>
      <c r="L41" s="48"/>
    </row>
    <row r="42" spans="2:12" x14ac:dyDescent="0.35">
      <c r="B42" s="47" t="s">
        <v>185</v>
      </c>
      <c r="C42" s="2" t="s">
        <v>229</v>
      </c>
      <c r="D42" s="2" t="s">
        <v>277</v>
      </c>
      <c r="E42" s="2" t="s">
        <v>278</v>
      </c>
      <c r="F42" s="2" t="s">
        <v>279</v>
      </c>
      <c r="G42" s="34">
        <v>3.7105033996912944</v>
      </c>
      <c r="H42" s="34">
        <v>-1.6925976055555558</v>
      </c>
      <c r="I42" s="2" t="s">
        <v>94</v>
      </c>
      <c r="J42" s="34"/>
      <c r="K42" s="34"/>
      <c r="L42" s="48"/>
    </row>
    <row r="43" spans="2:12" x14ac:dyDescent="0.35">
      <c r="B43" s="47" t="s">
        <v>185</v>
      </c>
      <c r="C43" s="2" t="s">
        <v>229</v>
      </c>
      <c r="D43" s="2" t="s">
        <v>277</v>
      </c>
      <c r="E43" s="2" t="s">
        <v>278</v>
      </c>
      <c r="F43" s="2" t="s">
        <v>279</v>
      </c>
      <c r="G43" s="34">
        <v>5.1873082231052976</v>
      </c>
      <c r="H43" s="34">
        <v>1.7994080776399994</v>
      </c>
      <c r="I43" s="2" t="s">
        <v>180</v>
      </c>
      <c r="J43" s="34"/>
      <c r="K43" s="34"/>
      <c r="L43" s="48"/>
    </row>
    <row r="44" spans="2:12" x14ac:dyDescent="0.35">
      <c r="B44" s="47" t="s">
        <v>185</v>
      </c>
      <c r="C44" s="2" t="s">
        <v>229</v>
      </c>
      <c r="D44" s="2" t="s">
        <v>277</v>
      </c>
      <c r="E44" s="2" t="s">
        <v>278</v>
      </c>
      <c r="F44" s="2" t="s">
        <v>279</v>
      </c>
      <c r="G44" s="34">
        <v>2.612188614006886</v>
      </c>
      <c r="H44" s="34">
        <v>-0.95166666666666677</v>
      </c>
      <c r="I44" s="2" t="s">
        <v>16</v>
      </c>
      <c r="J44" s="34"/>
      <c r="K44" s="34"/>
      <c r="L44" s="48"/>
    </row>
    <row r="45" spans="2:12" x14ac:dyDescent="0.35">
      <c r="B45" s="47" t="s">
        <v>185</v>
      </c>
      <c r="C45" s="2" t="s">
        <v>229</v>
      </c>
      <c r="D45" s="2" t="s">
        <v>277</v>
      </c>
      <c r="E45" s="2" t="s">
        <v>278</v>
      </c>
      <c r="F45" s="2" t="s">
        <v>280</v>
      </c>
      <c r="G45" s="34">
        <v>3.1200277226677144</v>
      </c>
      <c r="H45" s="34">
        <v>0.33568790229428602</v>
      </c>
      <c r="I45" s="2" t="s">
        <v>238</v>
      </c>
      <c r="J45" s="34">
        <v>3.1200277226677144</v>
      </c>
      <c r="K45" s="34">
        <v>0.33568790229428602</v>
      </c>
      <c r="L45" s="63" t="s">
        <v>19</v>
      </c>
    </row>
    <row r="46" spans="2:12" x14ac:dyDescent="0.35">
      <c r="B46" s="47" t="s">
        <v>185</v>
      </c>
      <c r="C46" s="2" t="s">
        <v>229</v>
      </c>
      <c r="D46" s="2" t="s">
        <v>284</v>
      </c>
      <c r="E46" s="2" t="s">
        <v>285</v>
      </c>
      <c r="F46" s="2" t="s">
        <v>286</v>
      </c>
      <c r="G46" s="34">
        <v>5.305435623839081</v>
      </c>
      <c r="H46" s="34">
        <v>2.1047947408931362</v>
      </c>
      <c r="I46" s="2" t="s">
        <v>202</v>
      </c>
      <c r="J46" s="34">
        <v>5.305435623839081</v>
      </c>
      <c r="K46" s="34">
        <v>2.1047947408931362</v>
      </c>
      <c r="L46" s="56" t="s">
        <v>6</v>
      </c>
    </row>
    <row r="47" spans="2:12" x14ac:dyDescent="0.35">
      <c r="B47" s="47" t="s">
        <v>185</v>
      </c>
      <c r="C47" s="2" t="s">
        <v>229</v>
      </c>
      <c r="D47" s="2" t="s">
        <v>284</v>
      </c>
      <c r="E47" s="2" t="s">
        <v>285</v>
      </c>
      <c r="F47" s="2" t="s">
        <v>287</v>
      </c>
      <c r="G47" s="34">
        <v>3.985890659999999</v>
      </c>
      <c r="H47" s="34">
        <v>1.9826868420000001</v>
      </c>
      <c r="I47" s="2" t="s">
        <v>30</v>
      </c>
      <c r="J47" s="34">
        <v>3.985890659999999</v>
      </c>
      <c r="K47" s="34">
        <v>1.9826868420000001</v>
      </c>
      <c r="L47" s="56" t="s">
        <v>6</v>
      </c>
    </row>
    <row r="48" spans="2:12" x14ac:dyDescent="0.35">
      <c r="B48" s="47" t="s">
        <v>185</v>
      </c>
      <c r="C48" s="2" t="s">
        <v>229</v>
      </c>
      <c r="D48" s="2" t="s">
        <v>284</v>
      </c>
      <c r="E48" s="2" t="s">
        <v>285</v>
      </c>
      <c r="F48" s="2" t="s">
        <v>288</v>
      </c>
      <c r="G48" s="34">
        <v>-0.3333333333333286</v>
      </c>
      <c r="H48" s="34">
        <v>-2.666666666666667</v>
      </c>
      <c r="I48" s="2" t="s">
        <v>140</v>
      </c>
      <c r="J48" s="34">
        <v>-0.3333333333333286</v>
      </c>
      <c r="K48" s="34">
        <v>-2.666666666666667</v>
      </c>
      <c r="L48" s="64" t="s">
        <v>145</v>
      </c>
    </row>
    <row r="49" spans="2:12" x14ac:dyDescent="0.35">
      <c r="B49" s="47" t="s">
        <v>185</v>
      </c>
      <c r="C49" s="2" t="s">
        <v>229</v>
      </c>
      <c r="D49" s="2" t="s">
        <v>230</v>
      </c>
      <c r="E49" s="2" t="s">
        <v>292</v>
      </c>
      <c r="F49" s="2" t="s">
        <v>293</v>
      </c>
      <c r="G49" s="34">
        <v>5.5490208448553027</v>
      </c>
      <c r="H49" s="34">
        <v>1.6869716071066656</v>
      </c>
      <c r="I49" s="2" t="s">
        <v>180</v>
      </c>
      <c r="J49" s="34">
        <v>5.5490208448553027</v>
      </c>
      <c r="K49" s="34">
        <v>1.6869716071066656</v>
      </c>
      <c r="L49" s="63" t="s">
        <v>19</v>
      </c>
    </row>
    <row r="50" spans="2:12" ht="16.75" x14ac:dyDescent="0.35">
      <c r="B50" s="47" t="s">
        <v>185</v>
      </c>
      <c r="C50" s="2" t="s">
        <v>229</v>
      </c>
      <c r="D50" s="2" t="s">
        <v>294</v>
      </c>
      <c r="E50" s="2" t="s">
        <v>295</v>
      </c>
      <c r="F50" s="2" t="s">
        <v>296</v>
      </c>
      <c r="G50" s="34">
        <v>7.3427016518956094</v>
      </c>
      <c r="H50" s="34">
        <v>2.9276534404399985</v>
      </c>
      <c r="I50" s="2" t="s">
        <v>75</v>
      </c>
      <c r="J50" s="34">
        <v>7.3427016518956094</v>
      </c>
      <c r="K50" s="34">
        <v>2.9276534404399985</v>
      </c>
      <c r="L50" s="65" t="s">
        <v>604</v>
      </c>
    </row>
    <row r="51" spans="2:12" x14ac:dyDescent="0.35">
      <c r="B51" s="47" t="s">
        <v>185</v>
      </c>
      <c r="C51" s="2" t="s">
        <v>229</v>
      </c>
      <c r="D51" s="2" t="s">
        <v>230</v>
      </c>
      <c r="E51" s="2" t="s">
        <v>231</v>
      </c>
      <c r="F51" s="2" t="s">
        <v>232</v>
      </c>
      <c r="G51" s="34">
        <v>4.6983257591015857</v>
      </c>
      <c r="H51" s="34">
        <v>1.7180938515246522</v>
      </c>
      <c r="I51" s="2" t="s">
        <v>96</v>
      </c>
      <c r="J51" s="34">
        <v>6.2348810586149952</v>
      </c>
      <c r="K51" s="34">
        <v>0.62996263095410854</v>
      </c>
      <c r="L51" s="63" t="s">
        <v>19</v>
      </c>
    </row>
    <row r="52" spans="2:12" x14ac:dyDescent="0.35">
      <c r="B52" s="47" t="s">
        <v>185</v>
      </c>
      <c r="C52" s="2" t="s">
        <v>229</v>
      </c>
      <c r="D52" s="2" t="s">
        <v>230</v>
      </c>
      <c r="E52" s="2" t="s">
        <v>231</v>
      </c>
      <c r="F52" s="2" t="s">
        <v>232</v>
      </c>
      <c r="G52" s="34">
        <v>5.5414899105471198</v>
      </c>
      <c r="H52" s="34">
        <v>0.69925000000000015</v>
      </c>
      <c r="I52" s="2" t="s">
        <v>86</v>
      </c>
      <c r="J52" s="34"/>
      <c r="K52" s="34"/>
      <c r="L52" s="48"/>
    </row>
    <row r="53" spans="2:12" x14ac:dyDescent="0.35">
      <c r="B53" s="47" t="s">
        <v>185</v>
      </c>
      <c r="C53" s="2" t="s">
        <v>229</v>
      </c>
      <c r="D53" s="2" t="s">
        <v>230</v>
      </c>
      <c r="E53" s="2" t="s">
        <v>231</v>
      </c>
      <c r="F53" s="2" t="s">
        <v>232</v>
      </c>
      <c r="G53" s="34">
        <v>8.0516316205952965</v>
      </c>
      <c r="H53" s="34">
        <v>-0.30743577391999999</v>
      </c>
      <c r="I53" s="2" t="s">
        <v>126</v>
      </c>
      <c r="J53" s="34"/>
      <c r="K53" s="34"/>
      <c r="L53" s="48"/>
    </row>
    <row r="54" spans="2:12" x14ac:dyDescent="0.35">
      <c r="B54" s="47" t="s">
        <v>185</v>
      </c>
      <c r="C54" s="2" t="s">
        <v>229</v>
      </c>
      <c r="D54" s="2" t="s">
        <v>230</v>
      </c>
      <c r="E54" s="2" t="s">
        <v>231</v>
      </c>
      <c r="F54" s="2" t="s">
        <v>232</v>
      </c>
      <c r="G54" s="34">
        <v>5.4030496082953334</v>
      </c>
      <c r="H54" s="34">
        <v>2.1051980505066661</v>
      </c>
      <c r="I54" s="2" t="s">
        <v>66</v>
      </c>
      <c r="J54" s="34"/>
      <c r="K54" s="34"/>
      <c r="L54" s="48"/>
    </row>
    <row r="55" spans="2:12" x14ac:dyDescent="0.35">
      <c r="B55" s="47" t="s">
        <v>185</v>
      </c>
      <c r="C55" s="2" t="s">
        <v>229</v>
      </c>
      <c r="D55" s="2" t="s">
        <v>230</v>
      </c>
      <c r="E55" s="2" t="s">
        <v>231</v>
      </c>
      <c r="F55" s="2" t="s">
        <v>232</v>
      </c>
      <c r="G55" s="34">
        <v>6.1577398448552998</v>
      </c>
      <c r="H55" s="34">
        <v>-0.18452839289333367</v>
      </c>
      <c r="I55" s="2" t="s">
        <v>180</v>
      </c>
      <c r="J55" s="34"/>
      <c r="K55" s="34"/>
      <c r="L55" s="48"/>
    </row>
    <row r="56" spans="2:12" x14ac:dyDescent="0.35">
      <c r="B56" s="47" t="s">
        <v>185</v>
      </c>
      <c r="C56" s="2" t="s">
        <v>229</v>
      </c>
      <c r="D56" s="2" t="s">
        <v>230</v>
      </c>
      <c r="E56" s="2" t="s">
        <v>231</v>
      </c>
      <c r="F56" s="2" t="s">
        <v>232</v>
      </c>
      <c r="G56" s="34">
        <v>7.5570496082953333</v>
      </c>
      <c r="H56" s="34">
        <v>-0.25080194949333401</v>
      </c>
      <c r="I56" s="2" t="s">
        <v>15</v>
      </c>
      <c r="J56" s="34"/>
      <c r="K56" s="34"/>
      <c r="L56" s="48"/>
    </row>
    <row r="57" spans="2:12" x14ac:dyDescent="0.35">
      <c r="B57" s="47" t="s">
        <v>185</v>
      </c>
      <c r="C57" s="2" t="s">
        <v>229</v>
      </c>
      <c r="D57" s="2" t="s">
        <v>230</v>
      </c>
      <c r="E57" s="2" t="s">
        <v>231</v>
      </c>
      <c r="F57" s="2" t="s">
        <v>233</v>
      </c>
      <c r="G57" s="34">
        <v>6.9080496082953342</v>
      </c>
      <c r="H57" s="34">
        <v>2.0561980505066662</v>
      </c>
      <c r="I57" s="2" t="s">
        <v>15</v>
      </c>
      <c r="J57" s="34">
        <v>6.5267788691883171</v>
      </c>
      <c r="K57" s="34">
        <v>1.5820573585866666</v>
      </c>
      <c r="L57" s="63" t="s">
        <v>19</v>
      </c>
    </row>
    <row r="58" spans="2:12" x14ac:dyDescent="0.35">
      <c r="B58" s="47" t="s">
        <v>185</v>
      </c>
      <c r="C58" s="2" t="s">
        <v>229</v>
      </c>
      <c r="D58" s="2" t="s">
        <v>230</v>
      </c>
      <c r="E58" s="2" t="s">
        <v>231</v>
      </c>
      <c r="F58" s="2" t="s">
        <v>233</v>
      </c>
      <c r="G58" s="34">
        <v>6.1455081300812999</v>
      </c>
      <c r="H58" s="34">
        <v>1.1079166666666671</v>
      </c>
      <c r="I58" s="2" t="s">
        <v>10</v>
      </c>
      <c r="J58" s="34"/>
      <c r="K58" s="34"/>
      <c r="L58" s="48"/>
    </row>
    <row r="59" spans="2:12" x14ac:dyDescent="0.35">
      <c r="B59" s="47" t="s">
        <v>185</v>
      </c>
      <c r="C59" s="2" t="s">
        <v>229</v>
      </c>
      <c r="D59" s="2" t="s">
        <v>277</v>
      </c>
      <c r="E59" s="2" t="s">
        <v>281</v>
      </c>
      <c r="F59" s="2" t="s">
        <v>282</v>
      </c>
      <c r="G59" s="34">
        <v>4.7666666666666693</v>
      </c>
      <c r="H59" s="34">
        <v>0.53333333333333321</v>
      </c>
      <c r="I59" s="2" t="s">
        <v>140</v>
      </c>
      <c r="J59" s="34">
        <v>4.7666666666666693</v>
      </c>
      <c r="K59" s="34">
        <v>0.53333333333333321</v>
      </c>
      <c r="L59" s="63" t="s">
        <v>19</v>
      </c>
    </row>
    <row r="60" spans="2:12" x14ac:dyDescent="0.35">
      <c r="B60" s="47" t="s">
        <v>185</v>
      </c>
      <c r="C60" s="2" t="s">
        <v>229</v>
      </c>
      <c r="D60" s="2" t="s">
        <v>297</v>
      </c>
      <c r="E60" s="2" t="s">
        <v>298</v>
      </c>
      <c r="F60" s="66" t="s">
        <v>299</v>
      </c>
      <c r="G60" s="34">
        <v>4.4239472797054162</v>
      </c>
      <c r="H60" s="34">
        <v>1.899</v>
      </c>
      <c r="I60" s="2" t="s">
        <v>16</v>
      </c>
      <c r="J60" s="34">
        <v>4.4239472797054162</v>
      </c>
      <c r="K60" s="34">
        <v>1.899</v>
      </c>
      <c r="L60" s="56" t="s">
        <v>6</v>
      </c>
    </row>
    <row r="61" spans="2:12" x14ac:dyDescent="0.35">
      <c r="B61" s="47" t="s">
        <v>185</v>
      </c>
      <c r="C61" s="2" t="s">
        <v>229</v>
      </c>
      <c r="D61" s="2" t="s">
        <v>297</v>
      </c>
      <c r="E61" s="2" t="s">
        <v>298</v>
      </c>
      <c r="F61" s="2" t="s">
        <v>300</v>
      </c>
      <c r="G61" s="34">
        <v>6.0666666666666664</v>
      </c>
      <c r="H61" s="34">
        <v>3.3333333333333437E-2</v>
      </c>
      <c r="I61" s="2" t="s">
        <v>127</v>
      </c>
      <c r="J61" s="34">
        <v>6.0666666666666664</v>
      </c>
      <c r="K61" s="34">
        <v>3.3333333333333437E-2</v>
      </c>
      <c r="L61" s="63" t="s">
        <v>19</v>
      </c>
    </row>
    <row r="62" spans="2:12" x14ac:dyDescent="0.35">
      <c r="B62" s="47" t="s">
        <v>185</v>
      </c>
      <c r="C62" s="2" t="s">
        <v>229</v>
      </c>
      <c r="D62" s="2" t="s">
        <v>297</v>
      </c>
      <c r="E62" s="2" t="s">
        <v>298</v>
      </c>
      <c r="F62" s="2" t="s">
        <v>301</v>
      </c>
      <c r="G62" s="34">
        <v>5.6429088035243495</v>
      </c>
      <c r="H62" s="34">
        <v>0.46378254305096744</v>
      </c>
      <c r="I62" s="2" t="s">
        <v>96</v>
      </c>
      <c r="J62" s="34">
        <v>5.2991946954133864</v>
      </c>
      <c r="K62" s="34">
        <v>0.64055506752306834</v>
      </c>
      <c r="L62" s="63" t="s">
        <v>19</v>
      </c>
    </row>
    <row r="63" spans="2:12" x14ac:dyDescent="0.35">
      <c r="B63" s="47" t="s">
        <v>185</v>
      </c>
      <c r="C63" s="2" t="s">
        <v>229</v>
      </c>
      <c r="D63" s="2" t="s">
        <v>297</v>
      </c>
      <c r="E63" s="2" t="s">
        <v>298</v>
      </c>
      <c r="F63" s="2" t="s">
        <v>301</v>
      </c>
      <c r="G63" s="34">
        <v>5.7939249683187484</v>
      </c>
      <c r="H63" s="34">
        <v>1.4112161199346405</v>
      </c>
      <c r="I63" s="2" t="s">
        <v>94</v>
      </c>
      <c r="J63" s="34"/>
      <c r="K63" s="34"/>
      <c r="L63" s="48"/>
    </row>
    <row r="64" spans="2:12" x14ac:dyDescent="0.35">
      <c r="B64" s="47" t="s">
        <v>185</v>
      </c>
      <c r="C64" s="2" t="s">
        <v>229</v>
      </c>
      <c r="D64" s="2" t="s">
        <v>297</v>
      </c>
      <c r="E64" s="2" t="s">
        <v>298</v>
      </c>
      <c r="F64" s="2" t="s">
        <v>301</v>
      </c>
      <c r="G64" s="34">
        <v>5.9207853448553038</v>
      </c>
      <c r="H64" s="34">
        <v>-0.15852839289333431</v>
      </c>
      <c r="I64" s="2" t="s">
        <v>180</v>
      </c>
      <c r="J64" s="34"/>
      <c r="K64" s="34"/>
      <c r="L64" s="48"/>
    </row>
    <row r="65" spans="2:12" ht="14.6" thickBot="1" x14ac:dyDescent="0.4">
      <c r="B65" s="50" t="s">
        <v>185</v>
      </c>
      <c r="C65" s="51" t="s">
        <v>229</v>
      </c>
      <c r="D65" s="51" t="s">
        <v>297</v>
      </c>
      <c r="E65" s="51" t="s">
        <v>298</v>
      </c>
      <c r="F65" s="51" t="s">
        <v>301</v>
      </c>
      <c r="G65" s="52">
        <v>3.8391596649551438</v>
      </c>
      <c r="H65" s="52">
        <v>0.84574999999999989</v>
      </c>
      <c r="I65" s="51" t="s">
        <v>16</v>
      </c>
      <c r="J65" s="52"/>
      <c r="K65" s="52"/>
      <c r="L65" s="57"/>
    </row>
    <row r="66" spans="2:12" x14ac:dyDescent="0.35">
      <c r="C66" s="2" t="s">
        <v>274</v>
      </c>
      <c r="D66" s="2" t="s">
        <v>289</v>
      </c>
      <c r="E66" s="2" t="s">
        <v>564</v>
      </c>
      <c r="G66" s="34">
        <f>AVERAGE(G39:G65)</f>
        <v>5.075783500446132</v>
      </c>
      <c r="H66" s="34">
        <f>AVERAGE(H39:H65)</f>
        <v>0.78335043003628713</v>
      </c>
      <c r="L66" s="61" t="s">
        <v>19</v>
      </c>
    </row>
    <row r="67" spans="2:12" ht="14.6" thickBot="1" x14ac:dyDescent="0.4"/>
    <row r="68" spans="2:12" x14ac:dyDescent="0.35">
      <c r="B68" s="43" t="s">
        <v>185</v>
      </c>
      <c r="C68" s="44" t="s">
        <v>234</v>
      </c>
      <c r="D68" s="44" t="s">
        <v>235</v>
      </c>
      <c r="E68" s="44" t="s">
        <v>236</v>
      </c>
      <c r="F68" s="44" t="s">
        <v>237</v>
      </c>
      <c r="G68" s="45">
        <v>4.4399320241180931</v>
      </c>
      <c r="H68" s="45">
        <v>2.2352369404399983</v>
      </c>
      <c r="I68" s="44" t="s">
        <v>75</v>
      </c>
      <c r="J68" s="45">
        <v>5.903506519862173</v>
      </c>
      <c r="K68" s="45">
        <v>0.1748916964116658</v>
      </c>
      <c r="L68" s="46" t="s">
        <v>19</v>
      </c>
    </row>
    <row r="69" spans="2:12" x14ac:dyDescent="0.35">
      <c r="B69" s="47" t="s">
        <v>185</v>
      </c>
      <c r="C69" s="2" t="s">
        <v>234</v>
      </c>
      <c r="D69" s="2" t="s">
        <v>235</v>
      </c>
      <c r="E69" s="2" t="s">
        <v>236</v>
      </c>
      <c r="F69" s="2" t="s">
        <v>237</v>
      </c>
      <c r="G69" s="34">
        <v>8.0144538473432991</v>
      </c>
      <c r="H69" s="34">
        <v>-0.19374009734000097</v>
      </c>
      <c r="I69" s="2" t="s">
        <v>126</v>
      </c>
      <c r="J69" s="34"/>
      <c r="K69" s="34"/>
      <c r="L69" s="48"/>
    </row>
    <row r="70" spans="2:12" x14ac:dyDescent="0.35">
      <c r="B70" s="47" t="s">
        <v>185</v>
      </c>
      <c r="C70" s="2" t="s">
        <v>234</v>
      </c>
      <c r="D70" s="2" t="s">
        <v>235</v>
      </c>
      <c r="E70" s="2" t="s">
        <v>236</v>
      </c>
      <c r="F70" s="2" t="s">
        <v>237</v>
      </c>
      <c r="G70" s="34">
        <v>4.8302768631319992</v>
      </c>
      <c r="H70" s="34">
        <v>-3.32340166456</v>
      </c>
      <c r="I70" s="2" t="s">
        <v>238</v>
      </c>
      <c r="J70" s="34"/>
      <c r="K70" s="34"/>
      <c r="L70" s="48"/>
    </row>
    <row r="71" spans="2:12" x14ac:dyDescent="0.35">
      <c r="B71" s="47" t="s">
        <v>185</v>
      </c>
      <c r="C71" s="2" t="s">
        <v>234</v>
      </c>
      <c r="D71" s="2" t="s">
        <v>235</v>
      </c>
      <c r="E71" s="2" t="s">
        <v>236</v>
      </c>
      <c r="F71" s="2" t="s">
        <v>237</v>
      </c>
      <c r="G71" s="34">
        <v>6.3293633448553024</v>
      </c>
      <c r="H71" s="34">
        <v>1.9814716071066658</v>
      </c>
      <c r="I71" s="2" t="s">
        <v>180</v>
      </c>
      <c r="J71" s="34"/>
      <c r="K71" s="34"/>
      <c r="L71" s="48"/>
    </row>
    <row r="72" spans="2:12" ht="16.75" x14ac:dyDescent="0.35">
      <c r="B72" s="47" t="s">
        <v>185</v>
      </c>
      <c r="C72" s="2" t="s">
        <v>234</v>
      </c>
      <c r="D72" s="2" t="s">
        <v>235</v>
      </c>
      <c r="E72" s="2" t="s">
        <v>236</v>
      </c>
      <c r="F72" s="2" t="s">
        <v>239</v>
      </c>
      <c r="G72" s="34">
        <v>8.6933929549402951</v>
      </c>
      <c r="H72" s="34">
        <v>0.69087540427500027</v>
      </c>
      <c r="I72" s="2" t="s">
        <v>126</v>
      </c>
      <c r="J72" s="34">
        <v>8.1684753738548537</v>
      </c>
      <c r="K72" s="34">
        <v>1.5731460354708338</v>
      </c>
      <c r="L72" s="65" t="s">
        <v>604</v>
      </c>
    </row>
    <row r="73" spans="2:12" x14ac:dyDescent="0.35">
      <c r="B73" s="47" t="s">
        <v>185</v>
      </c>
      <c r="C73" s="2" t="s">
        <v>234</v>
      </c>
      <c r="D73" s="2" t="s">
        <v>235</v>
      </c>
      <c r="E73" s="2" t="s">
        <v>236</v>
      </c>
      <c r="F73" s="2" t="s">
        <v>239</v>
      </c>
      <c r="G73" s="34">
        <v>7.643557792769414</v>
      </c>
      <c r="H73" s="34">
        <v>2.4554166666666672</v>
      </c>
      <c r="I73" s="2" t="s">
        <v>10</v>
      </c>
      <c r="J73" s="34"/>
      <c r="K73" s="34"/>
      <c r="L73" s="48"/>
    </row>
    <row r="74" spans="2:12" ht="16.75" x14ac:dyDescent="0.35">
      <c r="B74" s="47" t="s">
        <v>185</v>
      </c>
      <c r="C74" s="2" t="s">
        <v>234</v>
      </c>
      <c r="D74" s="2" t="s">
        <v>235</v>
      </c>
      <c r="E74" s="2" t="s">
        <v>236</v>
      </c>
      <c r="F74" s="2" t="s">
        <v>240</v>
      </c>
      <c r="G74" s="34">
        <v>9.2080090685833031</v>
      </c>
      <c r="H74" s="34">
        <v>1.3701518687760004</v>
      </c>
      <c r="I74" s="2" t="s">
        <v>126</v>
      </c>
      <c r="J74" s="34">
        <v>8.9217189338124925</v>
      </c>
      <c r="K74" s="34">
        <v>2.2685421338606671</v>
      </c>
      <c r="L74" s="65" t="s">
        <v>604</v>
      </c>
    </row>
    <row r="75" spans="2:12" x14ac:dyDescent="0.35">
      <c r="B75" s="47" t="s">
        <v>185</v>
      </c>
      <c r="C75" s="2" t="s">
        <v>234</v>
      </c>
      <c r="D75" s="2" t="s">
        <v>235</v>
      </c>
      <c r="E75" s="2" t="s">
        <v>236</v>
      </c>
      <c r="F75" s="2" t="s">
        <v>240</v>
      </c>
      <c r="G75" s="34">
        <v>10.049399999999999</v>
      </c>
      <c r="H75" s="34">
        <v>2.0906000000000002</v>
      </c>
      <c r="I75" s="2" t="s">
        <v>87</v>
      </c>
      <c r="J75" s="34"/>
      <c r="K75" s="34"/>
      <c r="L75" s="48"/>
    </row>
    <row r="76" spans="2:12" x14ac:dyDescent="0.35">
      <c r="B76" s="47" t="s">
        <v>185</v>
      </c>
      <c r="C76" s="2" t="s">
        <v>234</v>
      </c>
      <c r="D76" s="2" t="s">
        <v>235</v>
      </c>
      <c r="E76" s="2" t="s">
        <v>236</v>
      </c>
      <c r="F76" s="2" t="s">
        <v>240</v>
      </c>
      <c r="G76" s="34">
        <v>8.3093000000000004</v>
      </c>
      <c r="H76" s="34">
        <v>2.9190000000000005</v>
      </c>
      <c r="I76" s="2" t="s">
        <v>88</v>
      </c>
      <c r="J76" s="34"/>
      <c r="K76" s="34"/>
      <c r="L76" s="48"/>
    </row>
    <row r="77" spans="2:12" x14ac:dyDescent="0.35">
      <c r="B77" s="47" t="s">
        <v>185</v>
      </c>
      <c r="C77" s="2" t="s">
        <v>234</v>
      </c>
      <c r="D77" s="2" t="s">
        <v>235</v>
      </c>
      <c r="E77" s="2" t="s">
        <v>236</v>
      </c>
      <c r="F77" s="2" t="s">
        <v>240</v>
      </c>
      <c r="G77" s="34">
        <v>8.1201666666666661</v>
      </c>
      <c r="H77" s="34">
        <v>2.6944166666666671</v>
      </c>
      <c r="I77" s="2" t="s">
        <v>10</v>
      </c>
      <c r="J77" s="34"/>
      <c r="K77" s="34"/>
      <c r="L77" s="48"/>
    </row>
    <row r="78" spans="2:12" x14ac:dyDescent="0.35">
      <c r="B78" s="47" t="s">
        <v>185</v>
      </c>
      <c r="C78" s="2" t="s">
        <v>234</v>
      </c>
      <c r="D78" s="2" t="s">
        <v>235</v>
      </c>
      <c r="E78" s="2" t="s">
        <v>236</v>
      </c>
      <c r="F78" s="2" t="s">
        <v>241</v>
      </c>
      <c r="G78" s="34">
        <v>4.3446617604149225</v>
      </c>
      <c r="H78" s="34">
        <v>1.5642947408931354</v>
      </c>
      <c r="I78" s="2" t="s">
        <v>202</v>
      </c>
      <c r="J78" s="34">
        <v>5.650032849397415</v>
      </c>
      <c r="K78" s="34">
        <v>-1.0241466579339222</v>
      </c>
      <c r="L78" s="63" t="s">
        <v>19</v>
      </c>
    </row>
    <row r="79" spans="2:12" x14ac:dyDescent="0.35">
      <c r="B79" s="47" t="s">
        <v>185</v>
      </c>
      <c r="C79" s="2" t="s">
        <v>234</v>
      </c>
      <c r="D79" s="2" t="s">
        <v>235</v>
      </c>
      <c r="E79" s="2" t="s">
        <v>236</v>
      </c>
      <c r="F79" s="2" t="s">
        <v>241</v>
      </c>
      <c r="G79" s="34">
        <v>6.2865587684626618</v>
      </c>
      <c r="H79" s="34">
        <v>0.81800000000000006</v>
      </c>
      <c r="I79" s="2" t="s">
        <v>86</v>
      </c>
      <c r="J79" s="34"/>
      <c r="K79" s="34"/>
      <c r="L79" s="48"/>
    </row>
    <row r="80" spans="2:12" x14ac:dyDescent="0.35">
      <c r="B80" s="47" t="s">
        <v>185</v>
      </c>
      <c r="C80" s="2" t="s">
        <v>234</v>
      </c>
      <c r="D80" s="2" t="s">
        <v>235</v>
      </c>
      <c r="E80" s="2" t="s">
        <v>236</v>
      </c>
      <c r="F80" s="2" t="s">
        <v>241</v>
      </c>
      <c r="G80" s="34">
        <v>6.1105563448553024</v>
      </c>
      <c r="H80" s="34">
        <v>-2.0195283928933341</v>
      </c>
      <c r="I80" s="2" t="s">
        <v>126</v>
      </c>
      <c r="J80" s="34"/>
      <c r="K80" s="34"/>
      <c r="L80" s="48"/>
    </row>
    <row r="81" spans="2:12" x14ac:dyDescent="0.35">
      <c r="B81" s="47" t="s">
        <v>185</v>
      </c>
      <c r="C81" s="2" t="s">
        <v>234</v>
      </c>
      <c r="D81" s="2" t="s">
        <v>235</v>
      </c>
      <c r="E81" s="2" t="s">
        <v>236</v>
      </c>
      <c r="F81" s="2" t="s">
        <v>241</v>
      </c>
      <c r="G81" s="34">
        <v>4.7802138777962924</v>
      </c>
      <c r="H81" s="34">
        <v>-2.3796179027099997</v>
      </c>
      <c r="I81" s="2" t="s">
        <v>12</v>
      </c>
      <c r="J81" s="34"/>
      <c r="K81" s="34"/>
      <c r="L81" s="48"/>
    </row>
    <row r="82" spans="2:12" x14ac:dyDescent="0.35">
      <c r="B82" s="47" t="s">
        <v>185</v>
      </c>
      <c r="C82" s="2" t="s">
        <v>234</v>
      </c>
      <c r="D82" s="2" t="s">
        <v>235</v>
      </c>
      <c r="E82" s="2" t="s">
        <v>236</v>
      </c>
      <c r="F82" s="2" t="s">
        <v>241</v>
      </c>
      <c r="G82" s="34">
        <v>6.1105563448553024</v>
      </c>
      <c r="H82" s="34">
        <v>-4.1195283928933346</v>
      </c>
      <c r="I82" s="2" t="s">
        <v>180</v>
      </c>
      <c r="J82" s="34"/>
      <c r="K82" s="34"/>
      <c r="L82" s="48"/>
    </row>
    <row r="83" spans="2:12" x14ac:dyDescent="0.35">
      <c r="B83" s="47" t="s">
        <v>185</v>
      </c>
      <c r="C83" s="2" t="s">
        <v>234</v>
      </c>
      <c r="D83" s="2" t="s">
        <v>235</v>
      </c>
      <c r="E83" s="2" t="s">
        <v>236</v>
      </c>
      <c r="F83" s="2" t="s">
        <v>241</v>
      </c>
      <c r="G83" s="34">
        <v>6.2676499999999997</v>
      </c>
      <c r="H83" s="34">
        <v>-8.49999999999973E-3</v>
      </c>
      <c r="I83" s="2" t="s">
        <v>87</v>
      </c>
      <c r="J83" s="34"/>
      <c r="K83" s="34"/>
      <c r="L83" s="48"/>
    </row>
    <row r="84" spans="2:12" x14ac:dyDescent="0.35">
      <c r="B84" s="47" t="s">
        <v>185</v>
      </c>
      <c r="C84" s="2" t="s">
        <v>234</v>
      </c>
      <c r="D84" s="2" t="s">
        <v>235</v>
      </c>
      <c r="E84" s="2" t="s">
        <v>236</v>
      </c>
      <c r="F84" s="2" t="s">
        <v>242</v>
      </c>
      <c r="G84" s="34">
        <v>3.0894350048349182</v>
      </c>
      <c r="H84" s="34">
        <v>0.77966666666666695</v>
      </c>
      <c r="I84" s="2" t="s">
        <v>123</v>
      </c>
      <c r="J84" s="34">
        <v>4.360737940295965</v>
      </c>
      <c r="K84" s="34">
        <v>-0.66795390874222216</v>
      </c>
      <c r="L84" s="63" t="s">
        <v>19</v>
      </c>
    </row>
    <row r="85" spans="2:12" x14ac:dyDescent="0.35">
      <c r="B85" s="47" t="s">
        <v>185</v>
      </c>
      <c r="C85" s="2" t="s">
        <v>234</v>
      </c>
      <c r="D85" s="2" t="s">
        <v>235</v>
      </c>
      <c r="E85" s="2" t="s">
        <v>236</v>
      </c>
      <c r="F85" s="2" t="s">
        <v>242</v>
      </c>
      <c r="G85" s="34">
        <v>4.0554014711976762</v>
      </c>
      <c r="H85" s="34">
        <v>-1.3770000000000002</v>
      </c>
      <c r="I85" s="2" t="s">
        <v>210</v>
      </c>
      <c r="J85" s="34"/>
      <c r="K85" s="34"/>
      <c r="L85" s="48"/>
    </row>
    <row r="86" spans="2:12" x14ac:dyDescent="0.35">
      <c r="B86" s="47" t="s">
        <v>185</v>
      </c>
      <c r="C86" s="2" t="s">
        <v>234</v>
      </c>
      <c r="D86" s="2" t="s">
        <v>235</v>
      </c>
      <c r="E86" s="2" t="s">
        <v>236</v>
      </c>
      <c r="F86" s="2" t="s">
        <v>242</v>
      </c>
      <c r="G86" s="34">
        <v>5.9373773448552996</v>
      </c>
      <c r="H86" s="34">
        <v>-1.4065283928933332</v>
      </c>
      <c r="I86" s="2" t="s">
        <v>180</v>
      </c>
      <c r="J86" s="34"/>
      <c r="K86" s="34"/>
      <c r="L86" s="48"/>
    </row>
    <row r="87" spans="2:12" x14ac:dyDescent="0.35">
      <c r="B87" s="47" t="s">
        <v>185</v>
      </c>
      <c r="C87" s="2" t="s">
        <v>234</v>
      </c>
      <c r="D87" s="2" t="s">
        <v>235</v>
      </c>
      <c r="E87" s="2" t="s">
        <v>236</v>
      </c>
      <c r="F87" s="2" t="s">
        <v>243</v>
      </c>
      <c r="G87" s="34">
        <v>5.2740496082953339</v>
      </c>
      <c r="H87" s="34">
        <v>-0.76380194949333402</v>
      </c>
      <c r="I87" s="2" t="s">
        <v>15</v>
      </c>
      <c r="J87" s="34">
        <v>5.2740496082953339</v>
      </c>
      <c r="K87" s="34">
        <v>-0.76380194949333402</v>
      </c>
      <c r="L87" s="63" t="s">
        <v>19</v>
      </c>
    </row>
    <row r="88" spans="2:12" x14ac:dyDescent="0.35">
      <c r="B88" s="47" t="s">
        <v>185</v>
      </c>
      <c r="C88" s="2" t="s">
        <v>234</v>
      </c>
      <c r="D88" s="2" t="s">
        <v>235</v>
      </c>
      <c r="E88" s="2" t="s">
        <v>236</v>
      </c>
      <c r="F88" s="2" t="s">
        <v>244</v>
      </c>
      <c r="G88" s="34">
        <v>5.1889913768566913</v>
      </c>
      <c r="H88" s="34">
        <v>2.0139860237733318</v>
      </c>
      <c r="I88" s="2" t="s">
        <v>75</v>
      </c>
      <c r="J88" s="34">
        <v>5.1889913768566913</v>
      </c>
      <c r="K88" s="34">
        <v>2.0139860237733318</v>
      </c>
      <c r="L88" s="56" t="s">
        <v>6</v>
      </c>
    </row>
    <row r="89" spans="2:12" ht="16.75" x14ac:dyDescent="0.35">
      <c r="B89" s="47" t="s">
        <v>185</v>
      </c>
      <c r="C89" s="2" t="s">
        <v>234</v>
      </c>
      <c r="D89" s="2" t="s">
        <v>235</v>
      </c>
      <c r="E89" s="2" t="s">
        <v>236</v>
      </c>
      <c r="F89" s="2" t="s">
        <v>245</v>
      </c>
      <c r="G89" s="34">
        <v>6.383427376560153</v>
      </c>
      <c r="H89" s="34">
        <v>2.9512965832971405</v>
      </c>
      <c r="I89" s="2" t="s">
        <v>75</v>
      </c>
      <c r="J89" s="34">
        <v>7.7204571943086249</v>
      </c>
      <c r="K89" s="34">
        <v>2.8745321944323803</v>
      </c>
      <c r="L89" s="65" t="s">
        <v>604</v>
      </c>
    </row>
    <row r="90" spans="2:12" x14ac:dyDescent="0.35">
      <c r="B90" s="47" t="s">
        <v>185</v>
      </c>
      <c r="C90" s="2" t="s">
        <v>234</v>
      </c>
      <c r="D90" s="2" t="s">
        <v>235</v>
      </c>
      <c r="E90" s="2" t="s">
        <v>236</v>
      </c>
      <c r="F90" s="2" t="s">
        <v>245</v>
      </c>
      <c r="G90" s="34">
        <v>7.8985442063657203</v>
      </c>
      <c r="H90" s="34">
        <v>4.3250000000000002</v>
      </c>
      <c r="I90" s="2" t="s">
        <v>86</v>
      </c>
      <c r="J90" s="34"/>
      <c r="K90" s="34"/>
      <c r="L90" s="48"/>
    </row>
    <row r="91" spans="2:12" x14ac:dyDescent="0.35">
      <c r="B91" s="47" t="s">
        <v>185</v>
      </c>
      <c r="C91" s="2" t="s">
        <v>234</v>
      </c>
      <c r="D91" s="2" t="s">
        <v>235</v>
      </c>
      <c r="E91" s="2" t="s">
        <v>236</v>
      </c>
      <c r="F91" s="2" t="s">
        <v>245</v>
      </c>
      <c r="G91" s="34">
        <v>8.8794000000000004</v>
      </c>
      <c r="H91" s="34">
        <v>1.3473000000000006</v>
      </c>
      <c r="I91" s="2" t="s">
        <v>87</v>
      </c>
      <c r="J91" s="34"/>
      <c r="K91" s="34"/>
      <c r="L91" s="48"/>
    </row>
    <row r="92" spans="2:12" x14ac:dyDescent="0.35">
      <c r="B92" s="47" t="s">
        <v>185</v>
      </c>
      <c r="C92" s="2" t="s">
        <v>234</v>
      </c>
      <c r="D92" s="2" t="s">
        <v>235</v>
      </c>
      <c r="E92" s="2" t="s">
        <v>236</v>
      </c>
      <c r="F92" s="2" t="s">
        <v>246</v>
      </c>
      <c r="G92" s="34">
        <v>6.2601945192706161</v>
      </c>
      <c r="H92" s="34">
        <v>2.3907500000000002</v>
      </c>
      <c r="I92" s="2" t="s">
        <v>123</v>
      </c>
      <c r="J92" s="34">
        <v>6.2601945192706161</v>
      </c>
      <c r="K92" s="34">
        <v>2.3907500000000002</v>
      </c>
      <c r="L92" s="56" t="s">
        <v>6</v>
      </c>
    </row>
    <row r="93" spans="2:12" x14ac:dyDescent="0.35">
      <c r="B93" s="47" t="s">
        <v>185</v>
      </c>
      <c r="C93" s="2" t="s">
        <v>234</v>
      </c>
      <c r="D93" s="2" t="s">
        <v>235</v>
      </c>
      <c r="E93" s="2" t="s">
        <v>236</v>
      </c>
      <c r="F93" s="2" t="s">
        <v>247</v>
      </c>
      <c r="G93" s="34">
        <v>5.933049608295331</v>
      </c>
      <c r="H93" s="34">
        <v>-2.9048019494933337</v>
      </c>
      <c r="I93" s="2" t="s">
        <v>66</v>
      </c>
      <c r="J93" s="34">
        <v>5.9330496082953301</v>
      </c>
      <c r="K93" s="34">
        <v>-2.9048019494933337</v>
      </c>
      <c r="L93" s="67" t="s">
        <v>82</v>
      </c>
    </row>
    <row r="94" spans="2:12" x14ac:dyDescent="0.35">
      <c r="B94" s="47" t="s">
        <v>185</v>
      </c>
      <c r="C94" s="2" t="s">
        <v>234</v>
      </c>
      <c r="D94" s="2" t="s">
        <v>235</v>
      </c>
      <c r="E94" s="2" t="s">
        <v>305</v>
      </c>
      <c r="F94" s="2" t="s">
        <v>306</v>
      </c>
      <c r="G94" s="34">
        <v>5.7896684599999979</v>
      </c>
      <c r="H94" s="34">
        <v>1.2747833329999998</v>
      </c>
      <c r="I94" s="2" t="s">
        <v>30</v>
      </c>
      <c r="J94" s="34">
        <v>5.7896684599999979</v>
      </c>
      <c r="K94" s="34">
        <v>1.2747833329999998</v>
      </c>
      <c r="L94" s="63" t="s">
        <v>19</v>
      </c>
    </row>
    <row r="95" spans="2:12" ht="14.6" thickBot="1" x14ac:dyDescent="0.4">
      <c r="B95" s="50" t="s">
        <v>185</v>
      </c>
      <c r="C95" s="51" t="s">
        <v>234</v>
      </c>
      <c r="D95" s="51" t="s">
        <v>235</v>
      </c>
      <c r="E95" s="51" t="s">
        <v>307</v>
      </c>
      <c r="F95" s="51" t="s">
        <v>308</v>
      </c>
      <c r="G95" s="52">
        <v>5.1259195099999992</v>
      </c>
      <c r="H95" s="52">
        <v>2.8122833329999999</v>
      </c>
      <c r="I95" s="51" t="s">
        <v>30</v>
      </c>
      <c r="J95" s="52">
        <v>5.1259195099999992</v>
      </c>
      <c r="K95" s="52">
        <v>2.8122833329999999</v>
      </c>
      <c r="L95" s="53" t="s">
        <v>6</v>
      </c>
    </row>
    <row r="96" spans="2:12" x14ac:dyDescent="0.35">
      <c r="C96" s="2" t="s">
        <v>302</v>
      </c>
      <c r="D96" s="2" t="s">
        <v>304</v>
      </c>
      <c r="E96" s="2" t="s">
        <v>565</v>
      </c>
      <c r="G96" s="34">
        <f>AVERAGE(G68:G95)</f>
        <v>6.4054824337615912</v>
      </c>
      <c r="H96" s="34">
        <f>AVERAGE(H68:H95)</f>
        <v>0.65064575329587881</v>
      </c>
      <c r="L96" s="61" t="s">
        <v>19</v>
      </c>
    </row>
    <row r="97" spans="2:12" ht="14.6" thickBot="1" x14ac:dyDescent="0.4"/>
    <row r="98" spans="2:12" x14ac:dyDescent="0.35">
      <c r="B98" s="43" t="s">
        <v>185</v>
      </c>
      <c r="C98" s="44" t="s">
        <v>373</v>
      </c>
      <c r="D98" s="44" t="s">
        <v>432</v>
      </c>
      <c r="E98" s="44" t="s">
        <v>446</v>
      </c>
      <c r="F98" s="44" t="s">
        <v>447</v>
      </c>
      <c r="G98" s="45">
        <v>4.5092159036028612</v>
      </c>
      <c r="H98" s="45">
        <v>4.2045610149925059</v>
      </c>
      <c r="I98" s="44" t="s">
        <v>96</v>
      </c>
      <c r="J98" s="45">
        <v>5.1419239341021346</v>
      </c>
      <c r="K98" s="45">
        <v>3.667730175403936</v>
      </c>
      <c r="L98" s="58" t="s">
        <v>6</v>
      </c>
    </row>
    <row r="99" spans="2:12" x14ac:dyDescent="0.35">
      <c r="B99" s="47" t="s">
        <v>185</v>
      </c>
      <c r="C99" s="2" t="s">
        <v>373</v>
      </c>
      <c r="D99" s="2" t="s">
        <v>432</v>
      </c>
      <c r="E99" s="2" t="s">
        <v>446</v>
      </c>
      <c r="F99" s="2" t="s">
        <v>447</v>
      </c>
      <c r="G99" s="34">
        <v>5.3507283128770595</v>
      </c>
      <c r="H99" s="34">
        <v>2.335</v>
      </c>
      <c r="I99" s="2" t="s">
        <v>86</v>
      </c>
      <c r="J99" s="34"/>
      <c r="K99" s="34"/>
      <c r="L99" s="48"/>
    </row>
    <row r="100" spans="2:12" x14ac:dyDescent="0.35">
      <c r="B100" s="47" t="s">
        <v>185</v>
      </c>
      <c r="C100" s="2" t="s">
        <v>373</v>
      </c>
      <c r="D100" s="2" t="s">
        <v>432</v>
      </c>
      <c r="E100" s="2" t="s">
        <v>446</v>
      </c>
      <c r="F100" s="2" t="s">
        <v>447</v>
      </c>
      <c r="G100" s="34">
        <v>4.0897497798375575</v>
      </c>
      <c r="H100" s="34">
        <v>3.5290719869244445</v>
      </c>
      <c r="I100" s="2" t="s">
        <v>238</v>
      </c>
      <c r="J100" s="34"/>
      <c r="K100" s="34"/>
      <c r="L100" s="48"/>
    </row>
    <row r="101" spans="2:12" x14ac:dyDescent="0.35">
      <c r="B101" s="47" t="s">
        <v>185</v>
      </c>
      <c r="C101" s="2" t="s">
        <v>373</v>
      </c>
      <c r="D101" s="2" t="s">
        <v>432</v>
      </c>
      <c r="E101" s="2" t="s">
        <v>446</v>
      </c>
      <c r="F101" s="2" t="s">
        <v>447</v>
      </c>
      <c r="G101" s="34">
        <v>6.4260496082953331</v>
      </c>
      <c r="H101" s="34">
        <v>3.6131980505066656</v>
      </c>
      <c r="I101" s="2" t="s">
        <v>15</v>
      </c>
      <c r="J101" s="34"/>
      <c r="K101" s="34"/>
      <c r="L101" s="48"/>
    </row>
    <row r="102" spans="2:12" x14ac:dyDescent="0.35">
      <c r="B102" s="47" t="s">
        <v>185</v>
      </c>
      <c r="C102" s="2" t="s">
        <v>373</v>
      </c>
      <c r="D102" s="2" t="s">
        <v>432</v>
      </c>
      <c r="E102" s="2" t="s">
        <v>446</v>
      </c>
      <c r="F102" s="2" t="s">
        <v>447</v>
      </c>
      <c r="G102" s="34">
        <v>5.8683999999999994</v>
      </c>
      <c r="H102" s="34">
        <v>3.7073500000000004</v>
      </c>
      <c r="I102" s="2" t="s">
        <v>87</v>
      </c>
      <c r="J102" s="34"/>
      <c r="K102" s="34"/>
      <c r="L102" s="48"/>
    </row>
    <row r="103" spans="2:12" x14ac:dyDescent="0.35">
      <c r="B103" s="47" t="s">
        <v>185</v>
      </c>
      <c r="C103" s="2" t="s">
        <v>373</v>
      </c>
      <c r="D103" s="2" t="s">
        <v>432</v>
      </c>
      <c r="E103" s="2" t="s">
        <v>446</v>
      </c>
      <c r="F103" s="2" t="s">
        <v>447</v>
      </c>
      <c r="G103" s="34">
        <v>4.6073999999999984</v>
      </c>
      <c r="H103" s="34">
        <v>4.6172000000000004</v>
      </c>
      <c r="I103" s="2" t="s">
        <v>88</v>
      </c>
      <c r="J103" s="34"/>
      <c r="K103" s="34"/>
      <c r="L103" s="48"/>
    </row>
    <row r="104" spans="2:12" x14ac:dyDescent="0.35">
      <c r="B104" s="47" t="s">
        <v>185</v>
      </c>
      <c r="C104" s="2" t="s">
        <v>373</v>
      </c>
      <c r="D104" s="2" t="s">
        <v>432</v>
      </c>
      <c r="E104" s="2" t="s">
        <v>448</v>
      </c>
      <c r="F104" s="2" t="s">
        <v>449</v>
      </c>
      <c r="G104" s="34">
        <v>3.5393166499999964</v>
      </c>
      <c r="H104" s="34">
        <v>2.0020845026666669</v>
      </c>
      <c r="I104" s="2" t="s">
        <v>30</v>
      </c>
      <c r="J104" s="34">
        <v>3.5393166499999964</v>
      </c>
      <c r="K104" s="34">
        <v>2.0020845026666669</v>
      </c>
      <c r="L104" s="56" t="s">
        <v>6</v>
      </c>
    </row>
    <row r="105" spans="2:12" x14ac:dyDescent="0.35">
      <c r="B105" s="47" t="s">
        <v>185</v>
      </c>
      <c r="C105" s="2" t="s">
        <v>373</v>
      </c>
      <c r="D105" s="2" t="s">
        <v>432</v>
      </c>
      <c r="E105" s="2" t="s">
        <v>434</v>
      </c>
      <c r="F105" s="2" t="s">
        <v>435</v>
      </c>
      <c r="G105" s="34">
        <v>3.5393166499999964</v>
      </c>
      <c r="H105" s="34">
        <v>2.0020845026666669</v>
      </c>
      <c r="I105" s="2" t="s">
        <v>30</v>
      </c>
      <c r="J105" s="34">
        <v>3.5393166499999964</v>
      </c>
      <c r="K105" s="34">
        <v>2.0020845026666669</v>
      </c>
      <c r="L105" s="56" t="s">
        <v>6</v>
      </c>
    </row>
    <row r="106" spans="2:12" x14ac:dyDescent="0.35">
      <c r="B106" s="47" t="s">
        <v>185</v>
      </c>
      <c r="C106" s="2" t="s">
        <v>373</v>
      </c>
      <c r="D106" s="2" t="s">
        <v>432</v>
      </c>
      <c r="E106" s="2" t="s">
        <v>434</v>
      </c>
      <c r="F106" s="2" t="s">
        <v>436</v>
      </c>
      <c r="G106" s="34">
        <v>3.3796604899999991</v>
      </c>
      <c r="H106" s="34">
        <v>5.5164142859999998</v>
      </c>
      <c r="I106" s="2" t="s">
        <v>146</v>
      </c>
      <c r="J106" s="34">
        <v>3.3796604899999991</v>
      </c>
      <c r="K106" s="34">
        <v>5.5164142859999998</v>
      </c>
      <c r="L106" s="49" t="s">
        <v>8</v>
      </c>
    </row>
    <row r="107" spans="2:12" x14ac:dyDescent="0.35">
      <c r="B107" s="47" t="s">
        <v>185</v>
      </c>
      <c r="C107" s="2" t="s">
        <v>373</v>
      </c>
      <c r="D107" s="2" t="s">
        <v>432</v>
      </c>
      <c r="E107" s="2" t="s">
        <v>434</v>
      </c>
      <c r="F107" s="2" t="s">
        <v>437</v>
      </c>
      <c r="G107" s="34">
        <v>4.4960496082953334</v>
      </c>
      <c r="H107" s="34">
        <v>3.2121980505066658</v>
      </c>
      <c r="I107" s="2" t="s">
        <v>15</v>
      </c>
      <c r="J107" s="34">
        <v>4.0048581374809995</v>
      </c>
      <c r="K107" s="34">
        <v>3.4853073585866663</v>
      </c>
      <c r="L107" s="56" t="s">
        <v>6</v>
      </c>
    </row>
    <row r="108" spans="2:12" x14ac:dyDescent="0.35">
      <c r="B108" s="47" t="s">
        <v>185</v>
      </c>
      <c r="C108" s="2" t="s">
        <v>373</v>
      </c>
      <c r="D108" s="2" t="s">
        <v>432</v>
      </c>
      <c r="E108" s="2" t="s">
        <v>434</v>
      </c>
      <c r="F108" s="2" t="s">
        <v>437</v>
      </c>
      <c r="G108" s="34">
        <v>3.5136666666666656</v>
      </c>
      <c r="H108" s="34">
        <v>3.7584166666666667</v>
      </c>
      <c r="I108" s="2" t="s">
        <v>10</v>
      </c>
      <c r="J108" s="34"/>
      <c r="K108" s="34"/>
      <c r="L108" s="48"/>
    </row>
    <row r="109" spans="2:12" x14ac:dyDescent="0.35">
      <c r="B109" s="47" t="s">
        <v>185</v>
      </c>
      <c r="C109" s="2" t="s">
        <v>373</v>
      </c>
      <c r="D109" s="2" t="s">
        <v>432</v>
      </c>
      <c r="E109" s="2" t="s">
        <v>434</v>
      </c>
      <c r="F109" s="2" t="s">
        <v>438</v>
      </c>
      <c r="G109" s="34">
        <v>5.2230496082953337</v>
      </c>
      <c r="H109" s="34">
        <v>2.3651980505066659</v>
      </c>
      <c r="I109" s="2" t="s">
        <v>66</v>
      </c>
      <c r="J109" s="34">
        <v>5.2230496082953337</v>
      </c>
      <c r="K109" s="34">
        <v>2.3651980505066659</v>
      </c>
      <c r="L109" s="56" t="s">
        <v>6</v>
      </c>
    </row>
    <row r="110" spans="2:12" x14ac:dyDescent="0.35">
      <c r="B110" s="47" t="s">
        <v>185</v>
      </c>
      <c r="C110" s="2" t="s">
        <v>373</v>
      </c>
      <c r="D110" s="2" t="s">
        <v>374</v>
      </c>
      <c r="E110" s="2" t="s">
        <v>375</v>
      </c>
      <c r="F110" s="2" t="s">
        <v>376</v>
      </c>
      <c r="G110" s="34">
        <v>4.0499999999999972</v>
      </c>
      <c r="H110" s="34">
        <v>3.2</v>
      </c>
      <c r="I110" s="2" t="s">
        <v>22</v>
      </c>
      <c r="J110" s="34">
        <v>4.0499999999999972</v>
      </c>
      <c r="K110" s="34">
        <v>3.2</v>
      </c>
      <c r="L110" s="56" t="s">
        <v>6</v>
      </c>
    </row>
    <row r="111" spans="2:12" x14ac:dyDescent="0.35">
      <c r="B111" s="47" t="s">
        <v>185</v>
      </c>
      <c r="C111" s="2" t="s">
        <v>373</v>
      </c>
      <c r="D111" s="2" t="s">
        <v>432</v>
      </c>
      <c r="E111" s="2" t="s">
        <v>439</v>
      </c>
      <c r="F111" s="2" t="s">
        <v>440</v>
      </c>
      <c r="G111" s="34">
        <v>3.4399999999999977</v>
      </c>
      <c r="H111" s="34">
        <v>1.8200000000000003</v>
      </c>
      <c r="I111" s="2" t="s">
        <v>87</v>
      </c>
      <c r="J111" s="34">
        <v>3.4399999999999977</v>
      </c>
      <c r="K111" s="34">
        <v>1.8200000000000003</v>
      </c>
      <c r="L111" s="56" t="s">
        <v>6</v>
      </c>
    </row>
    <row r="112" spans="2:12" x14ac:dyDescent="0.35">
      <c r="B112" s="47" t="s">
        <v>185</v>
      </c>
      <c r="C112" s="2" t="s">
        <v>373</v>
      </c>
      <c r="D112" s="2" t="s">
        <v>432</v>
      </c>
      <c r="E112" s="2" t="s">
        <v>439</v>
      </c>
      <c r="F112" s="2" t="s">
        <v>441</v>
      </c>
      <c r="G112" s="34">
        <v>3.25</v>
      </c>
      <c r="H112" s="34">
        <v>3</v>
      </c>
      <c r="I112" s="2" t="s">
        <v>22</v>
      </c>
      <c r="J112" s="34">
        <v>3.25</v>
      </c>
      <c r="K112" s="34">
        <v>3</v>
      </c>
      <c r="L112" s="56" t="s">
        <v>6</v>
      </c>
    </row>
    <row r="113" spans="2:12" x14ac:dyDescent="0.35">
      <c r="B113" s="47" t="s">
        <v>185</v>
      </c>
      <c r="C113" s="2" t="s">
        <v>373</v>
      </c>
      <c r="D113" s="2" t="s">
        <v>432</v>
      </c>
      <c r="E113" s="2" t="s">
        <v>439</v>
      </c>
      <c r="F113" s="2" t="s">
        <v>442</v>
      </c>
      <c r="G113" s="34">
        <v>2.513949423333333</v>
      </c>
      <c r="H113" s="34">
        <v>2.1910268903333332</v>
      </c>
      <c r="I113" s="2" t="s">
        <v>30</v>
      </c>
      <c r="J113" s="34">
        <v>2.513949423333333</v>
      </c>
      <c r="K113" s="34">
        <v>2.1910268903333332</v>
      </c>
      <c r="L113" s="56" t="s">
        <v>6</v>
      </c>
    </row>
    <row r="114" spans="2:12" x14ac:dyDescent="0.35">
      <c r="B114" s="47" t="s">
        <v>185</v>
      </c>
      <c r="C114" s="2" t="s">
        <v>373</v>
      </c>
      <c r="D114" s="2" t="s">
        <v>432</v>
      </c>
      <c r="E114" s="2" t="s">
        <v>439</v>
      </c>
      <c r="F114" s="2" t="s">
        <v>443</v>
      </c>
      <c r="G114" s="34">
        <v>3.3499999999999979</v>
      </c>
      <c r="H114" s="34">
        <v>3</v>
      </c>
      <c r="I114" s="2" t="s">
        <v>22</v>
      </c>
      <c r="J114" s="34">
        <v>3.3499999999999979</v>
      </c>
      <c r="K114" s="34">
        <v>3</v>
      </c>
      <c r="L114" s="56" t="s">
        <v>6</v>
      </c>
    </row>
    <row r="115" spans="2:12" x14ac:dyDescent="0.35">
      <c r="B115" s="47" t="s">
        <v>185</v>
      </c>
      <c r="C115" s="2" t="s">
        <v>373</v>
      </c>
      <c r="D115" s="2" t="s">
        <v>432</v>
      </c>
      <c r="E115" s="2" t="s">
        <v>439</v>
      </c>
      <c r="F115" s="2" t="s">
        <v>444</v>
      </c>
      <c r="G115" s="34">
        <v>6.3178434383652995</v>
      </c>
      <c r="H115" s="34">
        <v>2.36207803344</v>
      </c>
      <c r="I115" s="2" t="s">
        <v>126</v>
      </c>
      <c r="J115" s="34">
        <v>5.5775561156517819</v>
      </c>
      <c r="K115" s="34">
        <v>3.7946735980066801</v>
      </c>
      <c r="L115" s="56" t="s">
        <v>6</v>
      </c>
    </row>
    <row r="116" spans="2:12" x14ac:dyDescent="0.35">
      <c r="B116" s="47" t="s">
        <v>185</v>
      </c>
      <c r="C116" s="2" t="s">
        <v>373</v>
      </c>
      <c r="D116" s="2" t="s">
        <v>432</v>
      </c>
      <c r="E116" s="2" t="s">
        <v>439</v>
      </c>
      <c r="F116" s="2" t="s">
        <v>444</v>
      </c>
      <c r="G116" s="34">
        <v>6.0030496082953313</v>
      </c>
      <c r="H116" s="34">
        <v>3.565198050506666</v>
      </c>
      <c r="I116" s="2" t="s">
        <v>66</v>
      </c>
      <c r="J116" s="34"/>
      <c r="K116" s="34"/>
      <c r="L116" s="48"/>
    </row>
    <row r="117" spans="2:12" x14ac:dyDescent="0.35">
      <c r="B117" s="47" t="s">
        <v>185</v>
      </c>
      <c r="C117" s="2" t="s">
        <v>373</v>
      </c>
      <c r="D117" s="2" t="s">
        <v>432</v>
      </c>
      <c r="E117" s="2" t="s">
        <v>439</v>
      </c>
      <c r="F117" s="2" t="s">
        <v>444</v>
      </c>
      <c r="G117" s="34">
        <v>4.4117753002947167</v>
      </c>
      <c r="H117" s="34">
        <v>5.4567447100733748</v>
      </c>
      <c r="I117" s="2" t="s">
        <v>12</v>
      </c>
      <c r="J117" s="34"/>
      <c r="K117" s="34"/>
      <c r="L117" s="48"/>
    </row>
    <row r="118" spans="2:12" x14ac:dyDescent="0.35">
      <c r="B118" s="47" t="s">
        <v>185</v>
      </c>
      <c r="C118" s="2" t="s">
        <v>373</v>
      </c>
      <c r="D118" s="2" t="s">
        <v>432</v>
      </c>
      <c r="E118" s="2" t="s">
        <v>439</v>
      </c>
      <c r="F118" s="2" t="s">
        <v>445</v>
      </c>
      <c r="G118" s="34">
        <v>3.9283411500000014</v>
      </c>
      <c r="H118" s="34">
        <v>2.059728195285714</v>
      </c>
      <c r="I118" s="2" t="s">
        <v>30</v>
      </c>
      <c r="J118" s="34">
        <v>3.9283411500000014</v>
      </c>
      <c r="K118" s="34">
        <v>2.059728195285714</v>
      </c>
      <c r="L118" s="56" t="s">
        <v>6</v>
      </c>
    </row>
    <row r="119" spans="2:12" ht="14.6" thickBot="1" x14ac:dyDescent="0.4">
      <c r="B119" s="50" t="s">
        <v>185</v>
      </c>
      <c r="C119" s="51" t="s">
        <v>373</v>
      </c>
      <c r="D119" s="51" t="s">
        <v>432</v>
      </c>
      <c r="E119" s="51" t="s">
        <v>450</v>
      </c>
      <c r="F119" s="51" t="s">
        <v>451</v>
      </c>
      <c r="G119" s="52">
        <v>4.5436136347774552</v>
      </c>
      <c r="H119" s="52">
        <v>7.8737667688969042</v>
      </c>
      <c r="I119" s="51" t="s">
        <v>12</v>
      </c>
      <c r="J119" s="52">
        <v>4.5436136347774552</v>
      </c>
      <c r="K119" s="52">
        <v>7.8737667688969042</v>
      </c>
      <c r="L119" s="68" t="s">
        <v>8</v>
      </c>
    </row>
    <row r="120" spans="2:12" x14ac:dyDescent="0.35">
      <c r="C120" s="2" t="s">
        <v>431</v>
      </c>
      <c r="D120" s="2" t="s">
        <v>452</v>
      </c>
      <c r="E120" s="15" t="s">
        <v>566</v>
      </c>
      <c r="G120" s="34">
        <f>AVERAGE($G$98:$G$119)</f>
        <v>4.3795989014971024</v>
      </c>
      <c r="H120" s="34">
        <f>AVERAGE($H$98:$H$119)</f>
        <v>3.4268781709078611</v>
      </c>
      <c r="L120" s="55" t="s">
        <v>6</v>
      </c>
    </row>
    <row r="121" spans="2:12" x14ac:dyDescent="0.35">
      <c r="C121" s="2" t="s">
        <v>431</v>
      </c>
      <c r="D121" s="2" t="s">
        <v>452</v>
      </c>
      <c r="E121" s="15" t="s">
        <v>567</v>
      </c>
      <c r="G121" s="34">
        <f>AVERAGE($G$98:$G$119)</f>
        <v>4.3795989014971024</v>
      </c>
      <c r="H121" s="34">
        <f>AVERAGE($H$98:$H$119)</f>
        <v>3.4268781709078611</v>
      </c>
      <c r="L121" s="55" t="s">
        <v>6</v>
      </c>
    </row>
  </sheetData>
  <phoneticPr fontId="2" type="noConversion"/>
  <conditionalFormatting sqref="E37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7624-22E2-493B-A4B6-05784775DFAB}">
  <dimension ref="A1:L234"/>
  <sheetViews>
    <sheetView zoomScale="85" zoomScaleNormal="85" workbookViewId="0">
      <selection sqref="A1:XFD1048576"/>
    </sheetView>
  </sheetViews>
  <sheetFormatPr defaultRowHeight="14.15" x14ac:dyDescent="0.35"/>
  <cols>
    <col min="1" max="1" width="6.7109375" style="2" customWidth="1"/>
    <col min="2" max="2" width="15.92578125" style="2" customWidth="1"/>
    <col min="3" max="3" width="16.140625" style="2" customWidth="1"/>
    <col min="4" max="4" width="22.5" style="2" customWidth="1"/>
    <col min="5" max="5" width="19.7109375" style="2" customWidth="1"/>
    <col min="6" max="6" width="29.92578125" style="2" customWidth="1"/>
    <col min="7" max="8" width="9.140625" style="2"/>
    <col min="9" max="9" width="43" style="2" customWidth="1"/>
    <col min="10" max="11" width="9.140625" style="2"/>
    <col min="12" max="12" width="14.85546875" style="2" customWidth="1"/>
    <col min="13" max="16384" width="9.140625" style="2"/>
  </cols>
  <sheetData>
    <row r="1" spans="1:12" s="79" customFormat="1" ht="18" customHeight="1" x14ac:dyDescent="0.35">
      <c r="A1" s="15" t="s">
        <v>606</v>
      </c>
    </row>
    <row r="2" spans="1:12" ht="15.9" x14ac:dyDescent="0.35">
      <c r="B2" s="1" t="s">
        <v>24</v>
      </c>
      <c r="C2" s="1" t="s">
        <v>1</v>
      </c>
      <c r="D2" s="1" t="s">
        <v>23</v>
      </c>
      <c r="E2" s="1" t="s">
        <v>34</v>
      </c>
      <c r="F2" s="1" t="s">
        <v>35</v>
      </c>
      <c r="G2" s="41" t="s">
        <v>607</v>
      </c>
      <c r="H2" s="42" t="s">
        <v>608</v>
      </c>
      <c r="I2" s="1" t="s">
        <v>36</v>
      </c>
      <c r="J2" s="42" t="s">
        <v>609</v>
      </c>
      <c r="K2" s="42" t="s">
        <v>610</v>
      </c>
      <c r="L2" s="1" t="s">
        <v>4</v>
      </c>
    </row>
    <row r="3" spans="1:12" ht="14.6" thickBot="1" x14ac:dyDescent="0.4"/>
    <row r="4" spans="1:12" x14ac:dyDescent="0.35">
      <c r="B4" s="43" t="s">
        <v>5</v>
      </c>
      <c r="C4" s="44" t="s">
        <v>7</v>
      </c>
      <c r="D4" s="44" t="s">
        <v>25</v>
      </c>
      <c r="E4" s="44" t="s">
        <v>26</v>
      </c>
      <c r="F4" s="44" t="s">
        <v>17</v>
      </c>
      <c r="G4" s="45">
        <v>5.1760496082953331</v>
      </c>
      <c r="H4" s="45">
        <v>4.017198050506666</v>
      </c>
      <c r="I4" s="44" t="s">
        <v>15</v>
      </c>
      <c r="J4" s="45">
        <f>AVERAGE(G4,G6)</f>
        <v>3.201703918301499</v>
      </c>
      <c r="K4" s="45">
        <f>AVERAGE(H4:H6)</f>
        <v>1.4518993501688886</v>
      </c>
      <c r="L4" s="46" t="s">
        <v>19</v>
      </c>
    </row>
    <row r="5" spans="1:12" x14ac:dyDescent="0.35">
      <c r="B5" s="47" t="s">
        <v>5</v>
      </c>
      <c r="C5" s="2" t="s">
        <v>7</v>
      </c>
      <c r="D5" s="2" t="s">
        <v>25</v>
      </c>
      <c r="E5" s="2" t="s">
        <v>26</v>
      </c>
      <c r="F5" s="2" t="s">
        <v>17</v>
      </c>
      <c r="G5" s="34"/>
      <c r="H5" s="34">
        <v>1.21</v>
      </c>
      <c r="I5" s="2" t="s">
        <v>18</v>
      </c>
      <c r="J5" s="34"/>
      <c r="K5" s="34"/>
      <c r="L5" s="48"/>
    </row>
    <row r="6" spans="1:12" ht="14.6" thickBot="1" x14ac:dyDescent="0.4">
      <c r="B6" s="50" t="s">
        <v>5</v>
      </c>
      <c r="C6" s="51" t="s">
        <v>7</v>
      </c>
      <c r="D6" s="51" t="s">
        <v>25</v>
      </c>
      <c r="E6" s="51" t="s">
        <v>26</v>
      </c>
      <c r="F6" s="51" t="s">
        <v>17</v>
      </c>
      <c r="G6" s="52">
        <v>1.2273582283076649</v>
      </c>
      <c r="H6" s="52">
        <v>-0.87149999999999983</v>
      </c>
      <c r="I6" s="51" t="s">
        <v>16</v>
      </c>
      <c r="J6" s="52"/>
      <c r="K6" s="52"/>
      <c r="L6" s="57"/>
    </row>
    <row r="7" spans="1:12" x14ac:dyDescent="0.35">
      <c r="D7" s="2" t="s">
        <v>52</v>
      </c>
      <c r="E7" s="2" t="s">
        <v>482</v>
      </c>
      <c r="G7" s="34">
        <f>AVERAGE(G4:G6)</f>
        <v>3.201703918301499</v>
      </c>
      <c r="H7" s="34">
        <f>AVERAGE(H4:H6)</f>
        <v>1.4518993501688886</v>
      </c>
      <c r="L7" s="61" t="s">
        <v>19</v>
      </c>
    </row>
    <row r="8" spans="1:12" ht="14.6" thickBot="1" x14ac:dyDescent="0.4"/>
    <row r="9" spans="1:12" x14ac:dyDescent="0.35">
      <c r="B9" s="43" t="s">
        <v>5</v>
      </c>
      <c r="C9" s="44" t="s">
        <v>38</v>
      </c>
      <c r="D9" s="44" t="s">
        <v>39</v>
      </c>
      <c r="E9" s="44" t="s">
        <v>40</v>
      </c>
      <c r="F9" s="44" t="s">
        <v>41</v>
      </c>
      <c r="G9" s="45">
        <v>3.910208786666665</v>
      </c>
      <c r="H9" s="45">
        <v>1.3583535086666665</v>
      </c>
      <c r="I9" s="44" t="s">
        <v>30</v>
      </c>
      <c r="J9" s="45">
        <v>3.910208786666665</v>
      </c>
      <c r="K9" s="45">
        <v>1.3583535086666665</v>
      </c>
      <c r="L9" s="46" t="s">
        <v>19</v>
      </c>
    </row>
    <row r="10" spans="1:12" x14ac:dyDescent="0.35">
      <c r="B10" s="47" t="s">
        <v>5</v>
      </c>
      <c r="C10" s="2" t="s">
        <v>38</v>
      </c>
      <c r="D10" s="2" t="s">
        <v>39</v>
      </c>
      <c r="E10" s="2" t="s">
        <v>40</v>
      </c>
      <c r="F10" s="2" t="s">
        <v>20</v>
      </c>
      <c r="G10" s="34">
        <v>3.9169326250000012</v>
      </c>
      <c r="H10" s="34">
        <v>3.5082833330000005</v>
      </c>
      <c r="I10" s="2" t="s">
        <v>30</v>
      </c>
      <c r="J10" s="34">
        <v>3.9169326250000012</v>
      </c>
      <c r="K10" s="34">
        <v>3.5082833330000005</v>
      </c>
      <c r="L10" s="56" t="s">
        <v>6</v>
      </c>
    </row>
    <row r="11" spans="1:12" ht="14.6" thickBot="1" x14ac:dyDescent="0.4">
      <c r="B11" s="50" t="s">
        <v>5</v>
      </c>
      <c r="C11" s="51" t="s">
        <v>38</v>
      </c>
      <c r="D11" s="51" t="s">
        <v>39</v>
      </c>
      <c r="E11" s="51" t="s">
        <v>40</v>
      </c>
      <c r="F11" s="51" t="s">
        <v>21</v>
      </c>
      <c r="G11" s="52">
        <v>3.0499999999999972</v>
      </c>
      <c r="H11" s="52">
        <v>1.5</v>
      </c>
      <c r="I11" s="51" t="s">
        <v>22</v>
      </c>
      <c r="J11" s="52">
        <v>3.0499999999999972</v>
      </c>
      <c r="K11" s="52">
        <v>1.5</v>
      </c>
      <c r="L11" s="60" t="s">
        <v>19</v>
      </c>
    </row>
    <row r="12" spans="1:12" x14ac:dyDescent="0.35">
      <c r="D12" s="2" t="s">
        <v>57</v>
      </c>
      <c r="E12" s="2" t="s">
        <v>533</v>
      </c>
      <c r="J12" s="34">
        <f>AVERAGE($J$9:$J$11)</f>
        <v>3.6257138038888876</v>
      </c>
      <c r="K12" s="34">
        <f>AVERAGE($K$9:$K$11)</f>
        <v>2.1222122805555554</v>
      </c>
      <c r="L12" s="55" t="s">
        <v>6</v>
      </c>
    </row>
    <row r="13" spans="1:12" x14ac:dyDescent="0.35">
      <c r="D13" s="2" t="s">
        <v>56</v>
      </c>
      <c r="E13" s="2" t="s">
        <v>534</v>
      </c>
      <c r="J13" s="34">
        <f>AVERAGE($J$9:$J$11)</f>
        <v>3.6257138038888876</v>
      </c>
      <c r="K13" s="34">
        <f>AVERAGE($K$9:$K$11)</f>
        <v>2.1222122805555554</v>
      </c>
      <c r="L13" s="55" t="s">
        <v>6</v>
      </c>
    </row>
    <row r="14" spans="1:12" x14ac:dyDescent="0.35">
      <c r="D14" s="2" t="s">
        <v>56</v>
      </c>
      <c r="E14" s="2" t="s">
        <v>535</v>
      </c>
      <c r="J14" s="34">
        <f>AVERAGE($J$9:$J$11)</f>
        <v>3.6257138038888876</v>
      </c>
      <c r="K14" s="34">
        <f>AVERAGE($K$9:$K$11)</f>
        <v>2.1222122805555554</v>
      </c>
      <c r="L14" s="55" t="s">
        <v>6</v>
      </c>
    </row>
    <row r="15" spans="1:12" ht="14.6" thickBot="1" x14ac:dyDescent="0.4"/>
    <row r="16" spans="1:12" x14ac:dyDescent="0.35">
      <c r="B16" s="43" t="s">
        <v>58</v>
      </c>
      <c r="C16" s="44" t="s">
        <v>71</v>
      </c>
      <c r="D16" s="44" t="s">
        <v>72</v>
      </c>
      <c r="E16" s="44" t="s">
        <v>73</v>
      </c>
      <c r="F16" s="44" t="s">
        <v>74</v>
      </c>
      <c r="G16" s="45">
        <v>6.4004846306190117</v>
      </c>
      <c r="H16" s="45">
        <v>1.0293654404399986</v>
      </c>
      <c r="I16" s="44" t="s">
        <v>75</v>
      </c>
      <c r="J16" s="45">
        <v>6.4004846306190117</v>
      </c>
      <c r="K16" s="45">
        <v>1.0293654404399986</v>
      </c>
      <c r="L16" s="46" t="s">
        <v>19</v>
      </c>
    </row>
    <row r="17" spans="2:12" x14ac:dyDescent="0.35">
      <c r="B17" s="47" t="s">
        <v>58</v>
      </c>
      <c r="C17" s="2" t="s">
        <v>71</v>
      </c>
      <c r="D17" s="2" t="s">
        <v>72</v>
      </c>
      <c r="E17" s="2" t="s">
        <v>76</v>
      </c>
      <c r="F17" s="2" t="s">
        <v>77</v>
      </c>
      <c r="G17" s="34">
        <v>5.9470496082953339</v>
      </c>
      <c r="H17" s="34">
        <v>2.8181980505066657</v>
      </c>
      <c r="I17" s="2" t="s">
        <v>15</v>
      </c>
      <c r="J17" s="34">
        <v>5.9470496082953339</v>
      </c>
      <c r="K17" s="34">
        <v>2.8181980505066657</v>
      </c>
      <c r="L17" s="56" t="s">
        <v>6</v>
      </c>
    </row>
    <row r="18" spans="2:12" x14ac:dyDescent="0.35">
      <c r="B18" s="47" t="s">
        <v>58</v>
      </c>
      <c r="C18" s="2" t="s">
        <v>71</v>
      </c>
      <c r="D18" s="2" t="s">
        <v>72</v>
      </c>
      <c r="E18" s="2" t="s">
        <v>89</v>
      </c>
      <c r="F18" s="2" t="s">
        <v>90</v>
      </c>
      <c r="G18" s="34">
        <v>6.6130496082953307</v>
      </c>
      <c r="H18" s="34">
        <v>0.7351980505066662</v>
      </c>
      <c r="I18" s="2" t="s">
        <v>66</v>
      </c>
      <c r="J18" s="34">
        <v>5.5074156312049816</v>
      </c>
      <c r="K18" s="34">
        <v>2.5589184391135498</v>
      </c>
      <c r="L18" s="56" t="s">
        <v>6</v>
      </c>
    </row>
    <row r="19" spans="2:12" x14ac:dyDescent="0.35">
      <c r="B19" s="47" t="s">
        <v>58</v>
      </c>
      <c r="C19" s="2" t="s">
        <v>71</v>
      </c>
      <c r="D19" s="2" t="s">
        <v>72</v>
      </c>
      <c r="E19" s="2" t="s">
        <v>89</v>
      </c>
      <c r="F19" s="2" t="s">
        <v>90</v>
      </c>
      <c r="G19" s="34">
        <v>4.4017816541146333</v>
      </c>
      <c r="H19" s="34">
        <v>4.3826388277204336</v>
      </c>
      <c r="I19" s="2" t="s">
        <v>12</v>
      </c>
      <c r="J19" s="34"/>
      <c r="K19" s="34"/>
      <c r="L19" s="48"/>
    </row>
    <row r="20" spans="2:12" x14ac:dyDescent="0.35">
      <c r="B20" s="47" t="s">
        <v>58</v>
      </c>
      <c r="C20" s="2" t="s">
        <v>71</v>
      </c>
      <c r="D20" s="2" t="s">
        <v>72</v>
      </c>
      <c r="E20" s="2" t="s">
        <v>89</v>
      </c>
      <c r="F20" s="2" t="s">
        <v>91</v>
      </c>
      <c r="G20" s="34">
        <v>5.7385056282842228</v>
      </c>
      <c r="H20" s="34">
        <v>3.4399539455066668</v>
      </c>
      <c r="I20" s="2" t="s">
        <v>13</v>
      </c>
      <c r="J20" s="34">
        <v>6.0503801067802598</v>
      </c>
      <c r="K20" s="34">
        <v>2.3467173320044439</v>
      </c>
      <c r="L20" s="56" t="s">
        <v>6</v>
      </c>
    </row>
    <row r="21" spans="2:12" x14ac:dyDescent="0.35">
      <c r="B21" s="47" t="s">
        <v>58</v>
      </c>
      <c r="C21" s="2" t="s">
        <v>71</v>
      </c>
      <c r="D21" s="2" t="s">
        <v>72</v>
      </c>
      <c r="E21" s="2" t="s">
        <v>89</v>
      </c>
      <c r="F21" s="2" t="s">
        <v>91</v>
      </c>
      <c r="G21" s="34">
        <v>6.3030496082953338</v>
      </c>
      <c r="H21" s="34">
        <v>3.8021980505066657</v>
      </c>
      <c r="I21" s="2" t="s">
        <v>15</v>
      </c>
      <c r="J21" s="34"/>
      <c r="K21" s="34"/>
      <c r="L21" s="48"/>
    </row>
    <row r="22" spans="2:12" ht="14.6" thickBot="1" x14ac:dyDescent="0.4">
      <c r="B22" s="50" t="s">
        <v>58</v>
      </c>
      <c r="C22" s="51" t="s">
        <v>71</v>
      </c>
      <c r="D22" s="51" t="s">
        <v>72</v>
      </c>
      <c r="E22" s="51" t="s">
        <v>89</v>
      </c>
      <c r="F22" s="51" t="s">
        <v>91</v>
      </c>
      <c r="G22" s="52">
        <v>6.1095850837612211</v>
      </c>
      <c r="H22" s="52">
        <v>-0.20199999999999999</v>
      </c>
      <c r="I22" s="51" t="s">
        <v>16</v>
      </c>
      <c r="J22" s="52"/>
      <c r="K22" s="52"/>
      <c r="L22" s="57"/>
    </row>
    <row r="23" spans="2:12" x14ac:dyDescent="0.35">
      <c r="D23" s="2" t="s">
        <v>106</v>
      </c>
      <c r="E23" s="2" t="s">
        <v>536</v>
      </c>
      <c r="G23" s="34">
        <f>AVERAGE(G16:G22)</f>
        <v>5.9305008316664418</v>
      </c>
      <c r="H23" s="34">
        <f>AVERAGE(H16:H22)</f>
        <v>2.2865074807410131</v>
      </c>
      <c r="L23" s="55" t="s">
        <v>6</v>
      </c>
    </row>
    <row r="24" spans="2:12" ht="14.6" thickBot="1" x14ac:dyDescent="0.4"/>
    <row r="25" spans="2:12" ht="16.75" x14ac:dyDescent="0.35">
      <c r="B25" s="43" t="s">
        <v>58</v>
      </c>
      <c r="C25" s="44" t="s">
        <v>67</v>
      </c>
      <c r="D25" s="44" t="s">
        <v>68</v>
      </c>
      <c r="E25" s="44" t="s">
        <v>69</v>
      </c>
      <c r="F25" s="44" t="s">
        <v>70</v>
      </c>
      <c r="G25" s="45">
        <v>7.0377758975148907</v>
      </c>
      <c r="H25" s="45">
        <v>3.6974672590929831</v>
      </c>
      <c r="I25" s="44" t="s">
        <v>12</v>
      </c>
      <c r="J25" s="45">
        <v>7.0377758975148907</v>
      </c>
      <c r="K25" s="45">
        <v>3.6974672590929831</v>
      </c>
      <c r="L25" s="69" t="s">
        <v>604</v>
      </c>
    </row>
    <row r="26" spans="2:12" x14ac:dyDescent="0.35">
      <c r="B26" s="47" t="s">
        <v>58</v>
      </c>
      <c r="C26" s="2" t="s">
        <v>67</v>
      </c>
      <c r="D26" s="2" t="s">
        <v>68</v>
      </c>
      <c r="E26" s="2" t="s">
        <v>78</v>
      </c>
      <c r="F26" s="2" t="s">
        <v>79</v>
      </c>
      <c r="G26" s="34">
        <v>6.312419762120097</v>
      </c>
      <c r="H26" s="34">
        <v>3.7999803439999997</v>
      </c>
      <c r="I26" s="2" t="s">
        <v>13</v>
      </c>
      <c r="J26" s="34">
        <v>6.312419762120097</v>
      </c>
      <c r="K26" s="34">
        <v>3.7999803439999997</v>
      </c>
      <c r="L26" s="56" t="s">
        <v>6</v>
      </c>
    </row>
    <row r="27" spans="2:12" ht="16.75" x14ac:dyDescent="0.35">
      <c r="B27" s="47" t="s">
        <v>58</v>
      </c>
      <c r="C27" s="2" t="s">
        <v>67</v>
      </c>
      <c r="D27" s="2" t="s">
        <v>68</v>
      </c>
      <c r="E27" s="2" t="s">
        <v>78</v>
      </c>
      <c r="F27" s="2" t="s">
        <v>80</v>
      </c>
      <c r="G27" s="34">
        <v>7.0846287274449011</v>
      </c>
      <c r="H27" s="34">
        <v>3.00341066871857</v>
      </c>
      <c r="I27" s="2" t="s">
        <v>12</v>
      </c>
      <c r="J27" s="34">
        <v>7.0846287274449011</v>
      </c>
      <c r="K27" s="34">
        <v>3.00341066871857</v>
      </c>
      <c r="L27" s="65" t="s">
        <v>604</v>
      </c>
    </row>
    <row r="28" spans="2:12" x14ac:dyDescent="0.35">
      <c r="B28" s="47" t="s">
        <v>58</v>
      </c>
      <c r="C28" s="2" t="s">
        <v>67</v>
      </c>
      <c r="D28" s="2" t="s">
        <v>68</v>
      </c>
      <c r="E28" s="2" t="s">
        <v>78</v>
      </c>
      <c r="F28" s="15" t="s">
        <v>81</v>
      </c>
      <c r="G28" s="34">
        <v>6.7933367563923106</v>
      </c>
      <c r="H28" s="34">
        <v>-4.7</v>
      </c>
      <c r="I28" s="2" t="s">
        <v>16</v>
      </c>
      <c r="J28" s="34">
        <v>6.7933367563923106</v>
      </c>
      <c r="K28" s="34">
        <v>-4.7</v>
      </c>
      <c r="L28" s="67" t="s">
        <v>82</v>
      </c>
    </row>
    <row r="29" spans="2:12" ht="16.75" x14ac:dyDescent="0.35">
      <c r="B29" s="47" t="s">
        <v>58</v>
      </c>
      <c r="C29" s="2" t="s">
        <v>67</v>
      </c>
      <c r="D29" s="2" t="s">
        <v>68</v>
      </c>
      <c r="E29" s="2" t="s">
        <v>78</v>
      </c>
      <c r="F29" s="2" t="s">
        <v>83</v>
      </c>
      <c r="G29" s="34">
        <v>8.8009197621200919</v>
      </c>
      <c r="H29" s="34">
        <v>2.8209803440000001</v>
      </c>
      <c r="I29" s="2" t="s">
        <v>13</v>
      </c>
      <c r="J29" s="34">
        <v>8.8009197621200919</v>
      </c>
      <c r="K29" s="34">
        <v>2.8209803440000001</v>
      </c>
      <c r="L29" s="65" t="s">
        <v>604</v>
      </c>
    </row>
    <row r="30" spans="2:12" x14ac:dyDescent="0.35">
      <c r="B30" s="47" t="s">
        <v>58</v>
      </c>
      <c r="C30" s="2" t="s">
        <v>67</v>
      </c>
      <c r="D30" s="2" t="s">
        <v>68</v>
      </c>
      <c r="E30" s="2" t="s">
        <v>78</v>
      </c>
      <c r="F30" s="15" t="s">
        <v>84</v>
      </c>
      <c r="G30" s="34">
        <v>5.0699626575385146</v>
      </c>
      <c r="H30" s="34">
        <v>-1.4283333333333332</v>
      </c>
      <c r="I30" s="2" t="s">
        <v>16</v>
      </c>
      <c r="J30" s="34">
        <v>5.0699626575385146</v>
      </c>
      <c r="K30" s="34">
        <v>-1.4283333333333332</v>
      </c>
      <c r="L30" s="63" t="s">
        <v>19</v>
      </c>
    </row>
    <row r="31" spans="2:12" ht="16.75" x14ac:dyDescent="0.35">
      <c r="B31" s="47" t="s">
        <v>58</v>
      </c>
      <c r="C31" s="2" t="s">
        <v>67</v>
      </c>
      <c r="D31" s="2" t="s">
        <v>68</v>
      </c>
      <c r="E31" s="2" t="s">
        <v>78</v>
      </c>
      <c r="F31" s="2" t="s">
        <v>85</v>
      </c>
      <c r="G31" s="34">
        <v>8.7872335760349536</v>
      </c>
      <c r="H31" s="34">
        <v>1.9882000000000002</v>
      </c>
      <c r="I31" s="2" t="s">
        <v>86</v>
      </c>
      <c r="J31" s="34">
        <v>8.6030917273420719</v>
      </c>
      <c r="K31" s="34">
        <v>2.3222291666666672</v>
      </c>
      <c r="L31" s="65" t="s">
        <v>604</v>
      </c>
    </row>
    <row r="32" spans="2:12" x14ac:dyDescent="0.35">
      <c r="B32" s="47" t="s">
        <v>58</v>
      </c>
      <c r="C32" s="2" t="s">
        <v>67</v>
      </c>
      <c r="D32" s="2" t="s">
        <v>68</v>
      </c>
      <c r="E32" s="2" t="s">
        <v>78</v>
      </c>
      <c r="F32" s="2" t="s">
        <v>85</v>
      </c>
      <c r="G32" s="34">
        <v>8.8949999999999996</v>
      </c>
      <c r="H32" s="34">
        <v>3.8415000000000004</v>
      </c>
      <c r="I32" s="2" t="s">
        <v>87</v>
      </c>
      <c r="J32" s="34"/>
      <c r="K32" s="34"/>
      <c r="L32" s="48"/>
    </row>
    <row r="33" spans="2:12" x14ac:dyDescent="0.35">
      <c r="B33" s="47" t="s">
        <v>58</v>
      </c>
      <c r="C33" s="2" t="s">
        <v>67</v>
      </c>
      <c r="D33" s="2" t="s">
        <v>68</v>
      </c>
      <c r="E33" s="2" t="s">
        <v>78</v>
      </c>
      <c r="F33" s="2" t="s">
        <v>85</v>
      </c>
      <c r="G33" s="34">
        <v>8.4660000000000011</v>
      </c>
      <c r="H33" s="34">
        <v>2.0132000000000003</v>
      </c>
      <c r="I33" s="2" t="s">
        <v>88</v>
      </c>
      <c r="J33" s="34"/>
      <c r="K33" s="34"/>
      <c r="L33" s="48"/>
    </row>
    <row r="34" spans="2:12" x14ac:dyDescent="0.35">
      <c r="B34" s="47" t="s">
        <v>58</v>
      </c>
      <c r="C34" s="2" t="s">
        <v>67</v>
      </c>
      <c r="D34" s="2" t="s">
        <v>68</v>
      </c>
      <c r="E34" s="2" t="s">
        <v>78</v>
      </c>
      <c r="F34" s="2" t="s">
        <v>85</v>
      </c>
      <c r="G34" s="34">
        <v>8.26413333333333</v>
      </c>
      <c r="H34" s="34">
        <v>1.4460166666666669</v>
      </c>
      <c r="I34" s="2" t="s">
        <v>10</v>
      </c>
      <c r="J34" s="34"/>
      <c r="K34" s="34"/>
      <c r="L34" s="48"/>
    </row>
    <row r="35" spans="2:12" x14ac:dyDescent="0.35">
      <c r="B35" s="47" t="s">
        <v>58</v>
      </c>
      <c r="C35" s="2" t="s">
        <v>67</v>
      </c>
      <c r="D35" s="2" t="s">
        <v>68</v>
      </c>
      <c r="E35" s="2" t="s">
        <v>92</v>
      </c>
      <c r="F35" s="2" t="s">
        <v>93</v>
      </c>
      <c r="G35" s="34">
        <v>3.4378107359839198</v>
      </c>
      <c r="H35" s="34">
        <v>4.2885690611111107</v>
      </c>
      <c r="I35" s="2" t="s">
        <v>94</v>
      </c>
      <c r="J35" s="34">
        <v>3.4378107359839198</v>
      </c>
      <c r="K35" s="34">
        <v>4.2885690611111107</v>
      </c>
      <c r="L35" s="56" t="s">
        <v>6</v>
      </c>
    </row>
    <row r="36" spans="2:12" ht="16.75" x14ac:dyDescent="0.35">
      <c r="B36" s="47" t="s">
        <v>58</v>
      </c>
      <c r="C36" s="2" t="s">
        <v>67</v>
      </c>
      <c r="D36" s="2" t="s">
        <v>68</v>
      </c>
      <c r="E36" s="2" t="s">
        <v>92</v>
      </c>
      <c r="F36" s="2" t="s">
        <v>95</v>
      </c>
      <c r="G36" s="34">
        <v>7.7588071013319961</v>
      </c>
      <c r="H36" s="34">
        <v>1.3085985518600003</v>
      </c>
      <c r="I36" s="2" t="s">
        <v>96</v>
      </c>
      <c r="J36" s="34">
        <v>7.3784617239693109</v>
      </c>
      <c r="K36" s="34">
        <v>0.76246739751715498</v>
      </c>
      <c r="L36" s="65" t="s">
        <v>604</v>
      </c>
    </row>
    <row r="37" spans="2:12" x14ac:dyDescent="0.35">
      <c r="B37" s="47" t="s">
        <v>58</v>
      </c>
      <c r="C37" s="2" t="s">
        <v>67</v>
      </c>
      <c r="D37" s="2" t="s">
        <v>68</v>
      </c>
      <c r="E37" s="2" t="s">
        <v>92</v>
      </c>
      <c r="F37" s="2" t="s">
        <v>95</v>
      </c>
      <c r="G37" s="34">
        <v>6.9170634405072953</v>
      </c>
      <c r="H37" s="34">
        <v>-0.94289247735042703</v>
      </c>
      <c r="I37" s="2" t="s">
        <v>94</v>
      </c>
      <c r="J37" s="34"/>
      <c r="K37" s="34"/>
      <c r="L37" s="48"/>
    </row>
    <row r="38" spans="2:12" x14ac:dyDescent="0.35">
      <c r="B38" s="47" t="s">
        <v>58</v>
      </c>
      <c r="C38" s="2" t="s">
        <v>67</v>
      </c>
      <c r="D38" s="2" t="s">
        <v>68</v>
      </c>
      <c r="E38" s="2" t="s">
        <v>92</v>
      </c>
      <c r="F38" s="2" t="s">
        <v>95</v>
      </c>
      <c r="G38" s="34">
        <v>8.2588071013319961</v>
      </c>
      <c r="H38" s="34">
        <v>2.3085985518600003</v>
      </c>
      <c r="I38" s="2" t="s">
        <v>13</v>
      </c>
      <c r="J38" s="34"/>
      <c r="K38" s="34"/>
      <c r="L38" s="48"/>
    </row>
    <row r="39" spans="2:12" x14ac:dyDescent="0.35">
      <c r="B39" s="47" t="s">
        <v>58</v>
      </c>
      <c r="C39" s="2" t="s">
        <v>67</v>
      </c>
      <c r="D39" s="2" t="s">
        <v>68</v>
      </c>
      <c r="E39" s="2" t="s">
        <v>92</v>
      </c>
      <c r="F39" s="2" t="s">
        <v>95</v>
      </c>
      <c r="G39" s="34">
        <v>7.2067381496518976</v>
      </c>
      <c r="H39" s="34">
        <v>0.25005243907717789</v>
      </c>
      <c r="I39" s="2" t="s">
        <v>14</v>
      </c>
      <c r="J39" s="34"/>
      <c r="K39" s="34"/>
      <c r="L39" s="48"/>
    </row>
    <row r="40" spans="2:12" x14ac:dyDescent="0.35">
      <c r="B40" s="47" t="s">
        <v>58</v>
      </c>
      <c r="C40" s="2" t="s">
        <v>67</v>
      </c>
      <c r="D40" s="2" t="s">
        <v>68</v>
      </c>
      <c r="E40" s="2" t="s">
        <v>92</v>
      </c>
      <c r="F40" s="2" t="s">
        <v>95</v>
      </c>
      <c r="G40" s="34">
        <v>7.716049608295334</v>
      </c>
      <c r="H40" s="34">
        <v>-0.28180194949333415</v>
      </c>
      <c r="I40" s="2" t="s">
        <v>15</v>
      </c>
      <c r="J40" s="34"/>
      <c r="K40" s="34"/>
      <c r="L40" s="48"/>
    </row>
    <row r="41" spans="2:12" x14ac:dyDescent="0.35">
      <c r="B41" s="47" t="s">
        <v>58</v>
      </c>
      <c r="C41" s="2" t="s">
        <v>67</v>
      </c>
      <c r="D41" s="2" t="s">
        <v>68</v>
      </c>
      <c r="E41" s="2" t="s">
        <v>92</v>
      </c>
      <c r="F41" s="2" t="s">
        <v>95</v>
      </c>
      <c r="G41" s="34">
        <v>6.0073000000000008</v>
      </c>
      <c r="H41" s="34">
        <v>0.55670000000000019</v>
      </c>
      <c r="I41" s="2" t="s">
        <v>88</v>
      </c>
      <c r="J41" s="34"/>
      <c r="K41" s="34"/>
      <c r="L41" s="48"/>
    </row>
    <row r="42" spans="2:12" x14ac:dyDescent="0.35">
      <c r="B42" s="47" t="s">
        <v>58</v>
      </c>
      <c r="C42" s="2" t="s">
        <v>67</v>
      </c>
      <c r="D42" s="2" t="s">
        <v>68</v>
      </c>
      <c r="E42" s="2" t="s">
        <v>92</v>
      </c>
      <c r="F42" s="2" t="s">
        <v>95</v>
      </c>
      <c r="G42" s="34">
        <v>7.7844666666666633</v>
      </c>
      <c r="H42" s="34">
        <v>2.1380166666666671</v>
      </c>
      <c r="I42" s="2" t="s">
        <v>10</v>
      </c>
      <c r="J42" s="34"/>
      <c r="K42" s="34"/>
      <c r="L42" s="48"/>
    </row>
    <row r="43" spans="2:12" ht="16.75" x14ac:dyDescent="0.35">
      <c r="B43" s="47" t="s">
        <v>58</v>
      </c>
      <c r="C43" s="2" t="s">
        <v>67</v>
      </c>
      <c r="D43" s="2" t="s">
        <v>68</v>
      </c>
      <c r="E43" s="2" t="s">
        <v>92</v>
      </c>
      <c r="F43" s="2" t="s">
        <v>97</v>
      </c>
      <c r="G43" s="34">
        <v>7.5136700663579639</v>
      </c>
      <c r="H43" s="34">
        <v>6.860235727777777</v>
      </c>
      <c r="I43" s="2" t="s">
        <v>94</v>
      </c>
      <c r="J43" s="34">
        <v>7.5136700663579639</v>
      </c>
      <c r="K43" s="34">
        <v>6.860235727777777</v>
      </c>
      <c r="L43" s="65" t="s">
        <v>604</v>
      </c>
    </row>
    <row r="44" spans="2:12" x14ac:dyDescent="0.35">
      <c r="B44" s="47" t="s">
        <v>58</v>
      </c>
      <c r="C44" s="2" t="s">
        <v>67</v>
      </c>
      <c r="D44" s="2" t="s">
        <v>68</v>
      </c>
      <c r="E44" s="2" t="s">
        <v>92</v>
      </c>
      <c r="F44" s="2" t="s">
        <v>98</v>
      </c>
      <c r="G44" s="34">
        <v>6.7370496082953331</v>
      </c>
      <c r="H44" s="34">
        <v>1.8741980505066658</v>
      </c>
      <c r="I44" s="2" t="s">
        <v>15</v>
      </c>
      <c r="J44" s="34">
        <v>5.902006677494489</v>
      </c>
      <c r="K44" s="34">
        <v>-0.17690097474666722</v>
      </c>
      <c r="L44" s="63" t="s">
        <v>19</v>
      </c>
    </row>
    <row r="45" spans="2:12" x14ac:dyDescent="0.35">
      <c r="B45" s="47" t="s">
        <v>58</v>
      </c>
      <c r="C45" s="2" t="s">
        <v>67</v>
      </c>
      <c r="D45" s="2" t="s">
        <v>68</v>
      </c>
      <c r="E45" s="2" t="s">
        <v>92</v>
      </c>
      <c r="F45" s="2" t="s">
        <v>98</v>
      </c>
      <c r="G45" s="34">
        <v>5.066963746693645</v>
      </c>
      <c r="H45" s="34">
        <v>-2.2280000000000002</v>
      </c>
      <c r="I45" s="2" t="s">
        <v>16</v>
      </c>
      <c r="J45" s="34"/>
      <c r="K45" s="34"/>
      <c r="L45" s="48"/>
    </row>
    <row r="46" spans="2:12" x14ac:dyDescent="0.35">
      <c r="B46" s="47" t="s">
        <v>58</v>
      </c>
      <c r="C46" s="2" t="s">
        <v>67</v>
      </c>
      <c r="D46" s="2" t="s">
        <v>68</v>
      </c>
      <c r="E46" s="2" t="s">
        <v>92</v>
      </c>
      <c r="F46" s="2" t="s">
        <v>99</v>
      </c>
      <c r="G46" s="34">
        <v>7.5097179543240919</v>
      </c>
      <c r="H46" s="34">
        <v>4.472256454747443</v>
      </c>
      <c r="I46" s="2" t="s">
        <v>12</v>
      </c>
      <c r="J46" s="34">
        <v>6.9099629249135459</v>
      </c>
      <c r="K46" s="34">
        <v>3.4010176633675315</v>
      </c>
      <c r="L46" s="56" t="s">
        <v>6</v>
      </c>
    </row>
    <row r="47" spans="2:12" x14ac:dyDescent="0.35">
      <c r="B47" s="47" t="s">
        <v>58</v>
      </c>
      <c r="C47" s="2" t="s">
        <v>67</v>
      </c>
      <c r="D47" s="2" t="s">
        <v>68</v>
      </c>
      <c r="E47" s="2" t="s">
        <v>92</v>
      </c>
      <c r="F47" s="2" t="s">
        <v>99</v>
      </c>
      <c r="G47" s="34">
        <v>6.1510496082953328</v>
      </c>
      <c r="H47" s="34">
        <v>3.154198050506666</v>
      </c>
      <c r="I47" s="2" t="s">
        <v>15</v>
      </c>
      <c r="J47" s="70"/>
      <c r="K47" s="70"/>
      <c r="L47" s="48"/>
    </row>
    <row r="48" spans="2:12" ht="14.6" thickBot="1" x14ac:dyDescent="0.4">
      <c r="B48" s="50" t="s">
        <v>58</v>
      </c>
      <c r="C48" s="51" t="s">
        <v>67</v>
      </c>
      <c r="D48" s="51" t="s">
        <v>68</v>
      </c>
      <c r="E48" s="51" t="s">
        <v>100</v>
      </c>
      <c r="F48" s="51" t="s">
        <v>99</v>
      </c>
      <c r="G48" s="52">
        <v>7.0691212121212139</v>
      </c>
      <c r="H48" s="52">
        <v>2.5765984848484855</v>
      </c>
      <c r="I48" s="51" t="s">
        <v>10</v>
      </c>
      <c r="J48" s="52"/>
      <c r="K48" s="52"/>
      <c r="L48" s="57"/>
    </row>
    <row r="49" spans="2:12" ht="16.75" x14ac:dyDescent="0.35">
      <c r="D49" s="2" t="s">
        <v>108</v>
      </c>
      <c r="E49" s="2" t="s">
        <v>537</v>
      </c>
      <c r="G49" s="34">
        <f>AVERAGE(G25:G48)</f>
        <v>7.1102510613481584</v>
      </c>
      <c r="H49" s="34">
        <f>AVERAGE(H25:H48)</f>
        <v>1.7840728983859631</v>
      </c>
      <c r="L49" s="71" t="s">
        <v>604</v>
      </c>
    </row>
    <row r="50" spans="2:12" ht="14.6" thickBot="1" x14ac:dyDescent="0.4"/>
    <row r="51" spans="2:12" x14ac:dyDescent="0.35">
      <c r="B51" s="43" t="s">
        <v>109</v>
      </c>
      <c r="C51" s="44" t="s">
        <v>110</v>
      </c>
      <c r="D51" s="44" t="s">
        <v>114</v>
      </c>
      <c r="E51" s="44" t="s">
        <v>115</v>
      </c>
      <c r="F51" s="44" t="s">
        <v>116</v>
      </c>
      <c r="G51" s="45">
        <v>4.0154356238390783</v>
      </c>
      <c r="H51" s="45">
        <v>-2.9652052591068641</v>
      </c>
      <c r="I51" s="44" t="s">
        <v>117</v>
      </c>
      <c r="J51" s="45">
        <v>3.8180380480335412</v>
      </c>
      <c r="K51" s="45">
        <v>-2.4619776295534317</v>
      </c>
      <c r="L51" s="72" t="s">
        <v>82</v>
      </c>
    </row>
    <row r="52" spans="2:12" x14ac:dyDescent="0.35">
      <c r="B52" s="47" t="s">
        <v>109</v>
      </c>
      <c r="C52" s="2" t="s">
        <v>110</v>
      </c>
      <c r="D52" s="2" t="s">
        <v>114</v>
      </c>
      <c r="E52" s="2" t="s">
        <v>115</v>
      </c>
      <c r="F52" s="2" t="s">
        <v>116</v>
      </c>
      <c r="G52" s="34">
        <v>3.6206404722280041</v>
      </c>
      <c r="H52" s="34">
        <v>-1.9587499999999998</v>
      </c>
      <c r="I52" s="2" t="s">
        <v>86</v>
      </c>
      <c r="J52" s="34"/>
      <c r="K52" s="34"/>
      <c r="L52" s="48"/>
    </row>
    <row r="53" spans="2:12" x14ac:dyDescent="0.35">
      <c r="B53" s="47" t="s">
        <v>109</v>
      </c>
      <c r="C53" s="2" t="s">
        <v>110</v>
      </c>
      <c r="D53" s="2" t="s">
        <v>114</v>
      </c>
      <c r="E53" s="2" t="s">
        <v>115</v>
      </c>
      <c r="F53" s="2" t="s">
        <v>118</v>
      </c>
      <c r="G53" s="34">
        <v>3.0575941335552379</v>
      </c>
      <c r="H53" s="34">
        <v>-0.62899999999999956</v>
      </c>
      <c r="I53" s="2" t="s">
        <v>86</v>
      </c>
      <c r="J53" s="34">
        <v>3.0575941335552379</v>
      </c>
      <c r="K53" s="34">
        <v>-0.62899999999999956</v>
      </c>
      <c r="L53" s="63" t="s">
        <v>19</v>
      </c>
    </row>
    <row r="54" spans="2:12" x14ac:dyDescent="0.35">
      <c r="B54" s="47" t="s">
        <v>109</v>
      </c>
      <c r="C54" s="2" t="s">
        <v>110</v>
      </c>
      <c r="D54" s="2" t="s">
        <v>114</v>
      </c>
      <c r="E54" s="2" t="s">
        <v>115</v>
      </c>
      <c r="F54" s="2" t="s">
        <v>119</v>
      </c>
      <c r="G54" s="34">
        <v>4.2823544343141293</v>
      </c>
      <c r="H54" s="34">
        <v>-0.58699999999999974</v>
      </c>
      <c r="I54" s="2" t="s">
        <v>120</v>
      </c>
      <c r="J54" s="34">
        <v>4.2823544343141293</v>
      </c>
      <c r="K54" s="34">
        <v>-0.58699999999999974</v>
      </c>
      <c r="L54" s="63" t="s">
        <v>19</v>
      </c>
    </row>
    <row r="55" spans="2:12" x14ac:dyDescent="0.35">
      <c r="B55" s="47" t="s">
        <v>109</v>
      </c>
      <c r="C55" s="2" t="s">
        <v>110</v>
      </c>
      <c r="D55" s="2" t="s">
        <v>114</v>
      </c>
      <c r="E55" s="2" t="s">
        <v>115</v>
      </c>
      <c r="F55" s="2" t="s">
        <v>121</v>
      </c>
      <c r="G55" s="34">
        <v>2.9800000000000004</v>
      </c>
      <c r="H55" s="34">
        <v>-5.15</v>
      </c>
      <c r="I55" s="2" t="s">
        <v>87</v>
      </c>
      <c r="J55" s="34">
        <v>2.4811999999999994</v>
      </c>
      <c r="K55" s="34">
        <v>-5.7637499999999999</v>
      </c>
      <c r="L55" s="67" t="s">
        <v>82</v>
      </c>
    </row>
    <row r="56" spans="2:12" x14ac:dyDescent="0.35">
      <c r="B56" s="47" t="s">
        <v>109</v>
      </c>
      <c r="C56" s="2" t="s">
        <v>110</v>
      </c>
      <c r="D56" s="2" t="s">
        <v>114</v>
      </c>
      <c r="E56" s="2" t="s">
        <v>115</v>
      </c>
      <c r="F56" s="2" t="s">
        <v>121</v>
      </c>
      <c r="G56" s="34">
        <v>1.9823999999999984</v>
      </c>
      <c r="H56" s="34">
        <v>-6.3775000000000004</v>
      </c>
      <c r="I56" s="2" t="s">
        <v>88</v>
      </c>
      <c r="J56" s="34"/>
      <c r="K56" s="34"/>
      <c r="L56" s="48"/>
    </row>
    <row r="57" spans="2:12" x14ac:dyDescent="0.35">
      <c r="B57" s="47" t="s">
        <v>109</v>
      </c>
      <c r="C57" s="2" t="s">
        <v>110</v>
      </c>
      <c r="D57" s="2" t="s">
        <v>114</v>
      </c>
      <c r="E57" s="2" t="s">
        <v>115</v>
      </c>
      <c r="F57" s="2" t="s">
        <v>122</v>
      </c>
      <c r="G57" s="34">
        <v>3.6816456002210245</v>
      </c>
      <c r="H57" s="34">
        <v>-0.46600000000000019</v>
      </c>
      <c r="I57" s="2" t="s">
        <v>123</v>
      </c>
      <c r="J57" s="34">
        <v>3.6816456002210245</v>
      </c>
      <c r="K57" s="34">
        <v>-0.46600000000000019</v>
      </c>
      <c r="L57" s="63" t="s">
        <v>19</v>
      </c>
    </row>
    <row r="58" spans="2:12" x14ac:dyDescent="0.35">
      <c r="B58" s="47" t="s">
        <v>109</v>
      </c>
      <c r="C58" s="2" t="s">
        <v>110</v>
      </c>
      <c r="D58" s="2" t="s">
        <v>114</v>
      </c>
      <c r="E58" s="2" t="s">
        <v>138</v>
      </c>
      <c r="F58" s="2" t="s">
        <v>139</v>
      </c>
      <c r="G58" s="34">
        <v>3.8666666666666707</v>
      </c>
      <c r="H58" s="34">
        <v>-1.2666666666666668</v>
      </c>
      <c r="I58" s="2" t="s">
        <v>140</v>
      </c>
      <c r="J58" s="34">
        <v>3.8666666666666707</v>
      </c>
      <c r="K58" s="34">
        <v>-1.2666666666666668</v>
      </c>
      <c r="L58" s="63" t="s">
        <v>19</v>
      </c>
    </row>
    <row r="59" spans="2:12" x14ac:dyDescent="0.35">
      <c r="B59" s="47" t="s">
        <v>109</v>
      </c>
      <c r="C59" s="2" t="s">
        <v>110</v>
      </c>
      <c r="D59" s="2" t="s">
        <v>114</v>
      </c>
      <c r="E59" s="2" t="s">
        <v>128</v>
      </c>
      <c r="F59" s="66" t="s">
        <v>129</v>
      </c>
      <c r="G59" s="34">
        <v>2.0338547956947011</v>
      </c>
      <c r="H59" s="34">
        <v>1.6582105263157896</v>
      </c>
      <c r="I59" s="2" t="s">
        <v>16</v>
      </c>
      <c r="J59" s="34">
        <v>2.0338547956947011</v>
      </c>
      <c r="K59" s="34">
        <v>1.6582105263157896</v>
      </c>
      <c r="L59" s="63" t="s">
        <v>19</v>
      </c>
    </row>
    <row r="60" spans="2:12" x14ac:dyDescent="0.35">
      <c r="B60" s="47" t="s">
        <v>109</v>
      </c>
      <c r="C60" s="2" t="s">
        <v>110</v>
      </c>
      <c r="D60" s="2" t="s">
        <v>114</v>
      </c>
      <c r="E60" s="2" t="s">
        <v>124</v>
      </c>
      <c r="F60" s="2" t="s">
        <v>125</v>
      </c>
      <c r="G60" s="34">
        <v>3.7834869565217417</v>
      </c>
      <c r="H60" s="34">
        <v>-0.91359999999999975</v>
      </c>
      <c r="I60" s="2" t="s">
        <v>86</v>
      </c>
      <c r="J60" s="34">
        <v>3.9330319590329923</v>
      </c>
      <c r="K60" s="34">
        <v>-1.2841527052569657</v>
      </c>
      <c r="L60" s="63" t="s">
        <v>19</v>
      </c>
    </row>
    <row r="61" spans="2:12" x14ac:dyDescent="0.35">
      <c r="B61" s="47" t="s">
        <v>109</v>
      </c>
      <c r="C61" s="2" t="s">
        <v>110</v>
      </c>
      <c r="D61" s="2" t="s">
        <v>114</v>
      </c>
      <c r="E61" s="2" t="s">
        <v>124</v>
      </c>
      <c r="F61" s="2" t="s">
        <v>125</v>
      </c>
      <c r="G61" s="34">
        <v>4.0030496082952975</v>
      </c>
      <c r="H61" s="34">
        <v>-1.5348019494933336</v>
      </c>
      <c r="I61" s="2" t="s">
        <v>126</v>
      </c>
      <c r="J61" s="34"/>
      <c r="K61" s="34"/>
      <c r="L61" s="48"/>
    </row>
    <row r="62" spans="2:12" x14ac:dyDescent="0.35">
      <c r="B62" s="47" t="s">
        <v>109</v>
      </c>
      <c r="C62" s="2" t="s">
        <v>110</v>
      </c>
      <c r="D62" s="2" t="s">
        <v>114</v>
      </c>
      <c r="E62" s="2" t="s">
        <v>124</v>
      </c>
      <c r="F62" s="2" t="s">
        <v>125</v>
      </c>
      <c r="G62" s="34">
        <v>3.6205867330246342</v>
      </c>
      <c r="H62" s="34">
        <v>-0.54236843888888919</v>
      </c>
      <c r="I62" s="2" t="s">
        <v>94</v>
      </c>
      <c r="J62" s="34"/>
      <c r="K62" s="34"/>
      <c r="L62" s="48"/>
    </row>
    <row r="63" spans="2:12" x14ac:dyDescent="0.35">
      <c r="B63" s="47" t="s">
        <v>109</v>
      </c>
      <c r="C63" s="2" t="s">
        <v>110</v>
      </c>
      <c r="D63" s="2" t="s">
        <v>114</v>
      </c>
      <c r="E63" s="2" t="s">
        <v>124</v>
      </c>
      <c r="F63" s="2" t="s">
        <v>125</v>
      </c>
      <c r="G63" s="34">
        <v>4.2380763427032875</v>
      </c>
      <c r="H63" s="34">
        <v>-1.8775766960765772E-4</v>
      </c>
      <c r="I63" s="2" t="s">
        <v>12</v>
      </c>
      <c r="J63" s="34"/>
      <c r="K63" s="34"/>
      <c r="L63" s="48"/>
    </row>
    <row r="64" spans="2:12" x14ac:dyDescent="0.35">
      <c r="B64" s="47" t="s">
        <v>109</v>
      </c>
      <c r="C64" s="2" t="s">
        <v>110</v>
      </c>
      <c r="D64" s="2" t="s">
        <v>114</v>
      </c>
      <c r="E64" s="2" t="s">
        <v>124</v>
      </c>
      <c r="F64" s="2" t="s">
        <v>125</v>
      </c>
      <c r="G64" s="34">
        <v>3.9030496082953334</v>
      </c>
      <c r="H64" s="34">
        <v>-1.034801949493334</v>
      </c>
      <c r="I64" s="2" t="s">
        <v>13</v>
      </c>
      <c r="J64" s="34"/>
      <c r="K64" s="34"/>
      <c r="L64" s="48"/>
    </row>
    <row r="65" spans="2:12" x14ac:dyDescent="0.35">
      <c r="B65" s="47" t="s">
        <v>109</v>
      </c>
      <c r="C65" s="2" t="s">
        <v>110</v>
      </c>
      <c r="D65" s="2" t="s">
        <v>114</v>
      </c>
      <c r="E65" s="2" t="s">
        <v>124</v>
      </c>
      <c r="F65" s="2" t="s">
        <v>125</v>
      </c>
      <c r="G65" s="34">
        <v>3.3262347792071019</v>
      </c>
      <c r="H65" s="34">
        <v>-1.2612150075311597</v>
      </c>
      <c r="I65" s="2" t="s">
        <v>14</v>
      </c>
      <c r="J65" s="34"/>
      <c r="K65" s="34"/>
      <c r="L65" s="48"/>
    </row>
    <row r="66" spans="2:12" x14ac:dyDescent="0.35">
      <c r="B66" s="47" t="s">
        <v>109</v>
      </c>
      <c r="C66" s="2" t="s">
        <v>110</v>
      </c>
      <c r="D66" s="2" t="s">
        <v>114</v>
      </c>
      <c r="E66" s="2" t="s">
        <v>124</v>
      </c>
      <c r="F66" s="2" t="s">
        <v>125</v>
      </c>
      <c r="G66" s="34">
        <v>4.4666666666666686</v>
      </c>
      <c r="H66" s="34">
        <v>-2.666666666666667</v>
      </c>
      <c r="I66" s="2" t="s">
        <v>127</v>
      </c>
      <c r="J66" s="34"/>
      <c r="K66" s="34"/>
      <c r="L66" s="48"/>
    </row>
    <row r="67" spans="2:12" x14ac:dyDescent="0.35">
      <c r="B67" s="47" t="s">
        <v>109</v>
      </c>
      <c r="C67" s="2" t="s">
        <v>110</v>
      </c>
      <c r="D67" s="2" t="s">
        <v>114</v>
      </c>
      <c r="E67" s="2" t="s">
        <v>124</v>
      </c>
      <c r="F67" s="2" t="s">
        <v>125</v>
      </c>
      <c r="G67" s="34">
        <v>3.9030496082953334</v>
      </c>
      <c r="H67" s="34">
        <v>-1.034801949493334</v>
      </c>
      <c r="I67" s="2" t="s">
        <v>15</v>
      </c>
      <c r="J67" s="34"/>
      <c r="K67" s="34"/>
      <c r="L67" s="48"/>
    </row>
    <row r="68" spans="2:12" x14ac:dyDescent="0.35">
      <c r="B68" s="47" t="s">
        <v>109</v>
      </c>
      <c r="C68" s="2" t="s">
        <v>110</v>
      </c>
      <c r="D68" s="2" t="s">
        <v>114</v>
      </c>
      <c r="E68" s="2" t="s">
        <v>124</v>
      </c>
      <c r="F68" s="2" t="s">
        <v>125</v>
      </c>
      <c r="G68" s="34">
        <v>4.8780000000000001</v>
      </c>
      <c r="H68" s="34">
        <v>-2.6374999999999993</v>
      </c>
      <c r="I68" s="2" t="s">
        <v>87</v>
      </c>
      <c r="J68" s="34"/>
      <c r="K68" s="34"/>
      <c r="L68" s="48"/>
    </row>
    <row r="69" spans="2:12" ht="14.6" thickBot="1" x14ac:dyDescent="0.4">
      <c r="B69" s="50" t="s">
        <v>109</v>
      </c>
      <c r="C69" s="51" t="s">
        <v>110</v>
      </c>
      <c r="D69" s="51" t="s">
        <v>114</v>
      </c>
      <c r="E69" s="51" t="s">
        <v>124</v>
      </c>
      <c r="F69" s="51" t="s">
        <v>125</v>
      </c>
      <c r="G69" s="52">
        <v>3.2081192873205318</v>
      </c>
      <c r="H69" s="52">
        <v>-1.215583333333333</v>
      </c>
      <c r="I69" s="51" t="s">
        <v>10</v>
      </c>
      <c r="J69" s="52"/>
      <c r="K69" s="52"/>
      <c r="L69" s="57"/>
    </row>
    <row r="70" spans="2:12" x14ac:dyDescent="0.35">
      <c r="D70" s="2" t="s">
        <v>137</v>
      </c>
      <c r="E70" s="2" t="s">
        <v>538</v>
      </c>
      <c r="G70" s="34">
        <f>AVERAGE(G51:G69)</f>
        <v>3.6237321745709883</v>
      </c>
      <c r="H70" s="34">
        <f>AVERAGE(H51:H69)</f>
        <v>-1.6096546553698632</v>
      </c>
      <c r="L70" s="61" t="s">
        <v>19</v>
      </c>
    </row>
    <row r="71" spans="2:12" ht="14.6" thickBot="1" x14ac:dyDescent="0.4"/>
    <row r="72" spans="2:12" x14ac:dyDescent="0.35">
      <c r="B72" s="43" t="s">
        <v>109</v>
      </c>
      <c r="C72" s="44" t="s">
        <v>110</v>
      </c>
      <c r="D72" s="44" t="s">
        <v>143</v>
      </c>
      <c r="E72" s="44" t="s">
        <v>149</v>
      </c>
      <c r="F72" s="44" t="s">
        <v>150</v>
      </c>
      <c r="G72" s="45">
        <v>4.2469412800000015</v>
      </c>
      <c r="H72" s="45">
        <v>0.87661666633333335</v>
      </c>
      <c r="I72" s="44" t="s">
        <v>30</v>
      </c>
      <c r="J72" s="45">
        <v>4.2469412800000015</v>
      </c>
      <c r="K72" s="45">
        <v>0.87661666633333335</v>
      </c>
      <c r="L72" s="46" t="s">
        <v>19</v>
      </c>
    </row>
    <row r="73" spans="2:12" x14ac:dyDescent="0.35">
      <c r="B73" s="47" t="s">
        <v>109</v>
      </c>
      <c r="C73" s="2" t="s">
        <v>110</v>
      </c>
      <c r="D73" s="2" t="s">
        <v>143</v>
      </c>
      <c r="E73" s="2" t="s">
        <v>147</v>
      </c>
      <c r="F73" s="2" t="s">
        <v>148</v>
      </c>
      <c r="G73" s="34">
        <v>1.645560524000004</v>
      </c>
      <c r="H73" s="34">
        <v>3.7670982261999995</v>
      </c>
      <c r="I73" s="2" t="s">
        <v>146</v>
      </c>
      <c r="J73" s="34">
        <v>1.645560524000004</v>
      </c>
      <c r="K73" s="34">
        <v>3.7670982261999995</v>
      </c>
      <c r="L73" s="56" t="s">
        <v>6</v>
      </c>
    </row>
    <row r="74" spans="2:12" x14ac:dyDescent="0.35">
      <c r="B74" s="47" t="s">
        <v>109</v>
      </c>
      <c r="C74" s="2" t="s">
        <v>110</v>
      </c>
      <c r="D74" s="2" t="s">
        <v>143</v>
      </c>
      <c r="E74" s="2" t="s">
        <v>142</v>
      </c>
      <c r="F74" s="2" t="s">
        <v>144</v>
      </c>
      <c r="G74" s="34">
        <v>3.6499999999999986</v>
      </c>
      <c r="H74" s="34">
        <v>-0.5</v>
      </c>
      <c r="I74" s="2" t="s">
        <v>22</v>
      </c>
      <c r="J74" s="34">
        <v>2.2301573319999992</v>
      </c>
      <c r="K74" s="34">
        <v>1.3828568966000001</v>
      </c>
      <c r="L74" s="64" t="s">
        <v>145</v>
      </c>
    </row>
    <row r="75" spans="2:12" x14ac:dyDescent="0.35">
      <c r="B75" s="47" t="s">
        <v>109</v>
      </c>
      <c r="C75" s="2" t="s">
        <v>110</v>
      </c>
      <c r="D75" s="2" t="s">
        <v>143</v>
      </c>
      <c r="E75" s="2" t="s">
        <v>142</v>
      </c>
      <c r="F75" s="2" t="s">
        <v>144</v>
      </c>
      <c r="G75" s="34">
        <v>0.81031466399999985</v>
      </c>
      <c r="H75" s="34">
        <v>3.2657137932000002</v>
      </c>
      <c r="I75" s="2" t="s">
        <v>146</v>
      </c>
      <c r="J75" s="34"/>
      <c r="K75" s="34"/>
      <c r="L75" s="48"/>
    </row>
    <row r="76" spans="2:12" x14ac:dyDescent="0.35">
      <c r="B76" s="47" t="s">
        <v>109</v>
      </c>
      <c r="C76" s="2" t="s">
        <v>110</v>
      </c>
      <c r="D76" s="2" t="s">
        <v>143</v>
      </c>
      <c r="E76" s="2" t="s">
        <v>153</v>
      </c>
      <c r="F76" s="2" t="s">
        <v>154</v>
      </c>
      <c r="G76" s="34">
        <v>4.6689927920332623</v>
      </c>
      <c r="H76" s="34">
        <v>3.3567005924263165</v>
      </c>
      <c r="I76" s="2" t="s">
        <v>12</v>
      </c>
      <c r="J76" s="34">
        <v>4.6689927920332623</v>
      </c>
      <c r="K76" s="34">
        <v>3.3567005924263165</v>
      </c>
      <c r="L76" s="56" t="s">
        <v>6</v>
      </c>
    </row>
    <row r="77" spans="2:12" ht="14.6" thickBot="1" x14ac:dyDescent="0.4">
      <c r="B77" s="50" t="s">
        <v>109</v>
      </c>
      <c r="C77" s="51" t="s">
        <v>110</v>
      </c>
      <c r="D77" s="51" t="s">
        <v>143</v>
      </c>
      <c r="E77" s="51" t="s">
        <v>151</v>
      </c>
      <c r="F77" s="51" t="s">
        <v>152</v>
      </c>
      <c r="G77" s="52">
        <v>4.823678718546665</v>
      </c>
      <c r="H77" s="52">
        <v>6.1064489419447332</v>
      </c>
      <c r="I77" s="51" t="s">
        <v>12</v>
      </c>
      <c r="J77" s="52">
        <v>4.823678718546665</v>
      </c>
      <c r="K77" s="52">
        <v>6.1064489419447332</v>
      </c>
      <c r="L77" s="68" t="s">
        <v>8</v>
      </c>
    </row>
    <row r="78" spans="2:12" x14ac:dyDescent="0.35">
      <c r="D78" s="2" t="s">
        <v>141</v>
      </c>
      <c r="E78" s="2" t="s">
        <v>539</v>
      </c>
      <c r="G78" s="34">
        <f>AVERAGE(G72:G77)</f>
        <v>3.3075813297633219</v>
      </c>
      <c r="H78" s="34">
        <f>AVERAGE(H72:H77)</f>
        <v>2.8120963700173971</v>
      </c>
      <c r="L78" s="55" t="s">
        <v>6</v>
      </c>
    </row>
    <row r="79" spans="2:12" ht="14.6" thickBot="1" x14ac:dyDescent="0.4"/>
    <row r="80" spans="2:12" x14ac:dyDescent="0.35">
      <c r="B80" s="43" t="s">
        <v>109</v>
      </c>
      <c r="C80" s="44" t="s">
        <v>110</v>
      </c>
      <c r="D80" s="44" t="s">
        <v>165</v>
      </c>
      <c r="E80" s="44" t="s">
        <v>170</v>
      </c>
      <c r="F80" s="44" t="s">
        <v>171</v>
      </c>
      <c r="G80" s="45">
        <v>3.7097031799999982</v>
      </c>
      <c r="H80" s="45">
        <v>2.3227833329999998</v>
      </c>
      <c r="I80" s="44" t="s">
        <v>30</v>
      </c>
      <c r="J80" s="45">
        <v>3.7097031799999982</v>
      </c>
      <c r="K80" s="45">
        <v>2.3227833329999998</v>
      </c>
      <c r="L80" s="58" t="s">
        <v>6</v>
      </c>
    </row>
    <row r="81" spans="2:12" x14ac:dyDescent="0.35">
      <c r="B81" s="47" t="s">
        <v>109</v>
      </c>
      <c r="C81" s="2" t="s">
        <v>110</v>
      </c>
      <c r="D81" s="2" t="s">
        <v>165</v>
      </c>
      <c r="E81" s="2" t="s">
        <v>172</v>
      </c>
      <c r="F81" s="2" t="s">
        <v>173</v>
      </c>
      <c r="G81" s="34">
        <v>4.1519051716666695</v>
      </c>
      <c r="H81" s="34">
        <v>1.0525011693333333</v>
      </c>
      <c r="I81" s="2" t="s">
        <v>30</v>
      </c>
      <c r="J81" s="34">
        <v>2.3918130775000002</v>
      </c>
      <c r="K81" s="34">
        <v>5.4401243956666665</v>
      </c>
      <c r="L81" s="49" t="s">
        <v>8</v>
      </c>
    </row>
    <row r="82" spans="2:12" x14ac:dyDescent="0.35">
      <c r="B82" s="47" t="s">
        <v>109</v>
      </c>
      <c r="C82" s="2" t="s">
        <v>110</v>
      </c>
      <c r="D82" s="2" t="s">
        <v>165</v>
      </c>
      <c r="E82" s="2" t="s">
        <v>172</v>
      </c>
      <c r="F82" s="2" t="s">
        <v>173</v>
      </c>
      <c r="G82" s="34">
        <v>0.63172098333333082</v>
      </c>
      <c r="H82" s="34">
        <v>9.8277476220000004</v>
      </c>
      <c r="I82" s="2" t="s">
        <v>146</v>
      </c>
      <c r="J82" s="34"/>
      <c r="K82" s="34"/>
      <c r="L82" s="48"/>
    </row>
    <row r="83" spans="2:12" x14ac:dyDescent="0.35">
      <c r="B83" s="47" t="s">
        <v>109</v>
      </c>
      <c r="C83" s="2" t="s">
        <v>110</v>
      </c>
      <c r="D83" s="2" t="s">
        <v>165</v>
      </c>
      <c r="E83" s="2" t="s">
        <v>166</v>
      </c>
      <c r="F83" s="2" t="s">
        <v>167</v>
      </c>
      <c r="G83" s="34">
        <v>3.7986586920886687</v>
      </c>
      <c r="H83" s="34">
        <v>2.834749187531111</v>
      </c>
      <c r="I83" s="2" t="s">
        <v>13</v>
      </c>
      <c r="J83" s="34">
        <v>4.397354150192001</v>
      </c>
      <c r="K83" s="34">
        <v>2.7944736190188886</v>
      </c>
      <c r="L83" s="56" t="s">
        <v>6</v>
      </c>
    </row>
    <row r="84" spans="2:12" x14ac:dyDescent="0.35">
      <c r="B84" s="47" t="s">
        <v>109</v>
      </c>
      <c r="C84" s="2" t="s">
        <v>110</v>
      </c>
      <c r="D84" s="2" t="s">
        <v>165</v>
      </c>
      <c r="E84" s="2" t="s">
        <v>166</v>
      </c>
      <c r="F84" s="2" t="s">
        <v>167</v>
      </c>
      <c r="G84" s="34">
        <v>4.9960496082953334</v>
      </c>
      <c r="H84" s="34">
        <v>2.7541980505066657</v>
      </c>
      <c r="I84" s="2" t="s">
        <v>15</v>
      </c>
      <c r="J84" s="34"/>
      <c r="K84" s="34"/>
      <c r="L84" s="48"/>
    </row>
    <row r="85" spans="2:12" x14ac:dyDescent="0.35">
      <c r="B85" s="47" t="s">
        <v>109</v>
      </c>
      <c r="C85" s="2" t="s">
        <v>110</v>
      </c>
      <c r="D85" s="2" t="s">
        <v>165</v>
      </c>
      <c r="E85" s="2" t="s">
        <v>166</v>
      </c>
      <c r="F85" s="2" t="s">
        <v>168</v>
      </c>
      <c r="G85" s="34">
        <v>4.6901367330246266</v>
      </c>
      <c r="H85" s="34">
        <v>3.576169061111111</v>
      </c>
      <c r="I85" s="2" t="s">
        <v>94</v>
      </c>
      <c r="J85" s="34">
        <v>6.2936465853299897</v>
      </c>
      <c r="K85" s="34">
        <v>3.4792917779044448</v>
      </c>
      <c r="L85" s="56" t="s">
        <v>6</v>
      </c>
    </row>
    <row r="86" spans="2:12" x14ac:dyDescent="0.35">
      <c r="B86" s="47" t="s">
        <v>109</v>
      </c>
      <c r="C86" s="2" t="s">
        <v>110</v>
      </c>
      <c r="D86" s="2" t="s">
        <v>165</v>
      </c>
      <c r="E86" s="2" t="s">
        <v>166</v>
      </c>
      <c r="F86" s="2" t="s">
        <v>168</v>
      </c>
      <c r="G86" s="34">
        <v>5.6330496082953339</v>
      </c>
      <c r="H86" s="34">
        <v>1.6731980505066661</v>
      </c>
      <c r="I86" s="2" t="s">
        <v>15</v>
      </c>
      <c r="J86" s="34"/>
      <c r="K86" s="34"/>
      <c r="L86" s="48"/>
    </row>
    <row r="87" spans="2:12" x14ac:dyDescent="0.35">
      <c r="B87" s="47" t="s">
        <v>109</v>
      </c>
      <c r="C87" s="2" t="s">
        <v>110</v>
      </c>
      <c r="D87" s="2" t="s">
        <v>165</v>
      </c>
      <c r="E87" s="2" t="s">
        <v>166</v>
      </c>
      <c r="F87" s="2" t="s">
        <v>168</v>
      </c>
      <c r="G87" s="34">
        <v>7.5877999999999979</v>
      </c>
      <c r="H87" s="34">
        <v>4.3871000000000002</v>
      </c>
      <c r="I87" s="2" t="s">
        <v>87</v>
      </c>
      <c r="J87" s="34"/>
      <c r="K87" s="34"/>
      <c r="L87" s="48"/>
    </row>
    <row r="88" spans="2:12" x14ac:dyDescent="0.35">
      <c r="B88" s="47" t="s">
        <v>109</v>
      </c>
      <c r="C88" s="2" t="s">
        <v>110</v>
      </c>
      <c r="D88" s="2" t="s">
        <v>165</v>
      </c>
      <c r="E88" s="2" t="s">
        <v>166</v>
      </c>
      <c r="F88" s="2" t="s">
        <v>168</v>
      </c>
      <c r="G88" s="34">
        <v>7.2636000000000003</v>
      </c>
      <c r="H88" s="34">
        <v>4.2807000000000004</v>
      </c>
      <c r="I88" s="2" t="s">
        <v>88</v>
      </c>
      <c r="J88" s="34"/>
      <c r="K88" s="34"/>
      <c r="L88" s="48"/>
    </row>
    <row r="89" spans="2:12" ht="14.6" thickBot="1" x14ac:dyDescent="0.4">
      <c r="B89" s="50" t="s">
        <v>109</v>
      </c>
      <c r="C89" s="51" t="s">
        <v>110</v>
      </c>
      <c r="D89" s="51" t="s">
        <v>165</v>
      </c>
      <c r="E89" s="51" t="s">
        <v>166</v>
      </c>
      <c r="F89" s="51" t="s">
        <v>169</v>
      </c>
      <c r="G89" s="52">
        <v>4.7632269928790283</v>
      </c>
      <c r="H89" s="52">
        <v>3.9919413448581578</v>
      </c>
      <c r="I89" s="51" t="s">
        <v>12</v>
      </c>
      <c r="J89" s="52">
        <v>4.7632269928790283</v>
      </c>
      <c r="K89" s="52">
        <v>3.9919413448581578</v>
      </c>
      <c r="L89" s="53" t="s">
        <v>6</v>
      </c>
    </row>
    <row r="90" spans="2:12" x14ac:dyDescent="0.35">
      <c r="D90" s="2" t="s">
        <v>164</v>
      </c>
      <c r="E90" s="2" t="s">
        <v>540</v>
      </c>
      <c r="G90" s="34">
        <f>AVERAGE(G80:G89)</f>
        <v>4.7225850969582979</v>
      </c>
      <c r="H90" s="34">
        <f>AVERAGE(H80:H89)</f>
        <v>3.6701087818847045</v>
      </c>
      <c r="L90" s="55" t="s">
        <v>6</v>
      </c>
    </row>
    <row r="91" spans="2:12" ht="14.6" thickBot="1" x14ac:dyDescent="0.4"/>
    <row r="92" spans="2:12" x14ac:dyDescent="0.35">
      <c r="B92" s="43" t="s">
        <v>185</v>
      </c>
      <c r="C92" s="44" t="s">
        <v>195</v>
      </c>
      <c r="D92" s="44" t="s">
        <v>198</v>
      </c>
      <c r="E92" s="44"/>
      <c r="F92" s="44"/>
      <c r="G92" s="45">
        <v>6.1277572290409843</v>
      </c>
      <c r="H92" s="45">
        <v>3.8585000000000003</v>
      </c>
      <c r="I92" s="44" t="s">
        <v>86</v>
      </c>
      <c r="J92" s="45">
        <v>5.2030586185404886</v>
      </c>
      <c r="K92" s="45">
        <v>3.4698524685624839</v>
      </c>
      <c r="L92" s="58" t="s">
        <v>6</v>
      </c>
    </row>
    <row r="93" spans="2:12" x14ac:dyDescent="0.35">
      <c r="B93" s="47" t="s">
        <v>185</v>
      </c>
      <c r="C93" s="2" t="s">
        <v>195</v>
      </c>
      <c r="D93" s="2" t="s">
        <v>198</v>
      </c>
      <c r="G93" s="34">
        <v>4.10661862658048</v>
      </c>
      <c r="H93" s="34">
        <v>2.2706574056874507</v>
      </c>
      <c r="I93" s="2" t="s">
        <v>12</v>
      </c>
      <c r="J93" s="34"/>
      <c r="K93" s="34"/>
      <c r="L93" s="48"/>
    </row>
    <row r="94" spans="2:12" x14ac:dyDescent="0.35">
      <c r="B94" s="47" t="s">
        <v>185</v>
      </c>
      <c r="C94" s="2" t="s">
        <v>195</v>
      </c>
      <c r="D94" s="2" t="s">
        <v>198</v>
      </c>
      <c r="G94" s="34">
        <v>5.3748000000000005</v>
      </c>
      <c r="H94" s="34">
        <v>4.2804000000000002</v>
      </c>
      <c r="I94" s="2" t="s">
        <v>88</v>
      </c>
      <c r="J94" s="34"/>
      <c r="K94" s="34"/>
      <c r="L94" s="48"/>
    </row>
    <row r="95" spans="2:12" ht="16.75" x14ac:dyDescent="0.35">
      <c r="B95" s="47" t="s">
        <v>185</v>
      </c>
      <c r="C95" s="2" t="s">
        <v>195</v>
      </c>
      <c r="D95" s="2" t="s">
        <v>198</v>
      </c>
      <c r="E95" s="2" t="s">
        <v>199</v>
      </c>
      <c r="F95" s="2" t="s">
        <v>200</v>
      </c>
      <c r="G95" s="34">
        <v>6.5208367330246269</v>
      </c>
      <c r="H95" s="34">
        <v>3.0170690611111111</v>
      </c>
      <c r="I95" s="2" t="s">
        <v>94</v>
      </c>
      <c r="J95" s="34">
        <v>7.8369683665123127</v>
      </c>
      <c r="K95" s="34">
        <v>4.9309345305555556</v>
      </c>
      <c r="L95" s="65" t="s">
        <v>604</v>
      </c>
    </row>
    <row r="96" spans="2:12" x14ac:dyDescent="0.35">
      <c r="B96" s="47" t="s">
        <v>185</v>
      </c>
      <c r="C96" s="2" t="s">
        <v>195</v>
      </c>
      <c r="D96" s="2" t="s">
        <v>198</v>
      </c>
      <c r="E96" s="2" t="s">
        <v>199</v>
      </c>
      <c r="F96" s="2" t="s">
        <v>200</v>
      </c>
      <c r="G96" s="34">
        <v>9.1530999999999985</v>
      </c>
      <c r="H96" s="34">
        <v>6.8448000000000002</v>
      </c>
      <c r="I96" s="2" t="s">
        <v>87</v>
      </c>
      <c r="J96" s="34"/>
      <c r="K96" s="34"/>
      <c r="L96" s="48"/>
    </row>
    <row r="97" spans="2:12" x14ac:dyDescent="0.35">
      <c r="B97" s="47" t="s">
        <v>185</v>
      </c>
      <c r="C97" s="2" t="s">
        <v>195</v>
      </c>
      <c r="D97" s="2" t="s">
        <v>198</v>
      </c>
      <c r="E97" s="2" t="s">
        <v>199</v>
      </c>
      <c r="F97" s="2" t="s">
        <v>201</v>
      </c>
      <c r="G97" s="34">
        <v>4.6662947408931359</v>
      </c>
      <c r="H97" s="34">
        <v>2.8554579499999999</v>
      </c>
      <c r="I97" s="2" t="s">
        <v>94</v>
      </c>
      <c r="J97" s="34">
        <v>4.4924749427804134</v>
      </c>
      <c r="K97" s="34">
        <v>3.3562255645302823</v>
      </c>
      <c r="L97" s="56" t="s">
        <v>6</v>
      </c>
    </row>
    <row r="98" spans="2:12" x14ac:dyDescent="0.35">
      <c r="B98" s="47" t="s">
        <v>185</v>
      </c>
      <c r="C98" s="2" t="s">
        <v>195</v>
      </c>
      <c r="D98" s="2" t="s">
        <v>198</v>
      </c>
      <c r="E98" s="2" t="s">
        <v>199</v>
      </c>
      <c r="F98" s="2" t="s">
        <v>201</v>
      </c>
      <c r="G98" s="34">
        <v>4.0841132645991784</v>
      </c>
      <c r="H98" s="34">
        <v>3.6044818464544619</v>
      </c>
      <c r="I98" s="2" t="s">
        <v>14</v>
      </c>
      <c r="J98" s="34"/>
      <c r="K98" s="34"/>
      <c r="L98" s="48"/>
    </row>
    <row r="99" spans="2:12" x14ac:dyDescent="0.35">
      <c r="B99" s="47" t="s">
        <v>185</v>
      </c>
      <c r="C99" s="2" t="s">
        <v>195</v>
      </c>
      <c r="D99" s="2" t="s">
        <v>198</v>
      </c>
      <c r="E99" s="2" t="s">
        <v>199</v>
      </c>
      <c r="F99" s="2" t="s">
        <v>201</v>
      </c>
      <c r="G99" s="34">
        <v>4.5531970247362032</v>
      </c>
      <c r="H99" s="34">
        <v>4.0694166666666671</v>
      </c>
      <c r="I99" s="2" t="s">
        <v>10</v>
      </c>
      <c r="J99" s="34"/>
      <c r="K99" s="34"/>
      <c r="L99" s="48"/>
    </row>
    <row r="100" spans="2:12" x14ac:dyDescent="0.35">
      <c r="B100" s="47" t="s">
        <v>185</v>
      </c>
      <c r="C100" s="2" t="s">
        <v>195</v>
      </c>
      <c r="D100" s="2" t="s">
        <v>198</v>
      </c>
      <c r="E100" s="2" t="s">
        <v>199</v>
      </c>
      <c r="F100" s="2" t="s">
        <v>201</v>
      </c>
      <c r="G100" s="34">
        <v>4.6662947408931359</v>
      </c>
      <c r="H100" s="34">
        <v>2.8955457950000003</v>
      </c>
      <c r="I100" s="2" t="s">
        <v>202</v>
      </c>
      <c r="J100" s="34"/>
      <c r="K100" s="34"/>
      <c r="L100" s="48"/>
    </row>
    <row r="101" spans="2:12" x14ac:dyDescent="0.35">
      <c r="B101" s="47" t="s">
        <v>185</v>
      </c>
      <c r="C101" s="2" t="s">
        <v>195</v>
      </c>
      <c r="D101" s="2" t="s">
        <v>198</v>
      </c>
      <c r="E101" s="2" t="s">
        <v>199</v>
      </c>
      <c r="F101" s="2" t="s">
        <v>203</v>
      </c>
      <c r="G101" s="34">
        <v>4.3325243918670182</v>
      </c>
      <c r="H101" s="34">
        <v>2.7224864396570392</v>
      </c>
      <c r="I101" s="2" t="s">
        <v>96</v>
      </c>
      <c r="J101" s="34">
        <v>4.3325243918670182</v>
      </c>
      <c r="K101" s="34">
        <v>2.7224864396570392</v>
      </c>
      <c r="L101" s="56" t="s">
        <v>6</v>
      </c>
    </row>
    <row r="102" spans="2:12" ht="16.75" x14ac:dyDescent="0.35">
      <c r="B102" s="47" t="s">
        <v>185</v>
      </c>
      <c r="C102" s="2" t="s">
        <v>195</v>
      </c>
      <c r="D102" s="2" t="s">
        <v>198</v>
      </c>
      <c r="E102" s="2" t="s">
        <v>199</v>
      </c>
      <c r="F102" s="2" t="s">
        <v>204</v>
      </c>
      <c r="G102" s="34">
        <v>8.5398067507219633</v>
      </c>
      <c r="H102" s="34">
        <v>4.8387628403733327</v>
      </c>
      <c r="I102" s="2" t="s">
        <v>126</v>
      </c>
      <c r="J102" s="34">
        <v>8.5398067507219633</v>
      </c>
      <c r="K102" s="34">
        <v>4.8387628403733327</v>
      </c>
      <c r="L102" s="65" t="s">
        <v>604</v>
      </c>
    </row>
    <row r="103" spans="2:12" x14ac:dyDescent="0.35">
      <c r="B103" s="47" t="s">
        <v>185</v>
      </c>
      <c r="C103" s="2" t="s">
        <v>195</v>
      </c>
      <c r="D103" s="2" t="s">
        <v>198</v>
      </c>
      <c r="E103" s="2" t="s">
        <v>199</v>
      </c>
      <c r="F103" s="2" t="s">
        <v>205</v>
      </c>
      <c r="G103" s="34">
        <v>3.4443367330246275</v>
      </c>
      <c r="H103" s="34">
        <v>1.3591246166666666</v>
      </c>
      <c r="I103" s="2" t="s">
        <v>94</v>
      </c>
      <c r="J103" s="34">
        <v>3.4443367330246275</v>
      </c>
      <c r="K103" s="34">
        <v>1.3591246166666666</v>
      </c>
      <c r="L103" s="63" t="s">
        <v>19</v>
      </c>
    </row>
    <row r="104" spans="2:12" x14ac:dyDescent="0.35">
      <c r="B104" s="47" t="s">
        <v>185</v>
      </c>
      <c r="C104" s="2" t="s">
        <v>195</v>
      </c>
      <c r="D104" s="2" t="s">
        <v>198</v>
      </c>
      <c r="E104" s="2" t="s">
        <v>199</v>
      </c>
      <c r="F104" s="2" t="s">
        <v>206</v>
      </c>
      <c r="G104" s="34">
        <v>7.8288620165219616</v>
      </c>
      <c r="H104" s="34">
        <v>4.5478399776266665</v>
      </c>
      <c r="I104" s="2" t="s">
        <v>126</v>
      </c>
      <c r="J104" s="34">
        <v>6.1911636843264803</v>
      </c>
      <c r="K104" s="34">
        <v>3.8724195756193174</v>
      </c>
      <c r="L104" s="56" t="s">
        <v>6</v>
      </c>
    </row>
    <row r="105" spans="2:12" x14ac:dyDescent="0.35">
      <c r="B105" s="47" t="s">
        <v>185</v>
      </c>
      <c r="C105" s="2" t="s">
        <v>195</v>
      </c>
      <c r="D105" s="2" t="s">
        <v>198</v>
      </c>
      <c r="E105" s="2" t="s">
        <v>199</v>
      </c>
      <c r="F105" s="2" t="s">
        <v>206</v>
      </c>
      <c r="G105" s="34">
        <v>4.5534653521309991</v>
      </c>
      <c r="H105" s="34">
        <v>3.1969991736119683</v>
      </c>
      <c r="I105" s="2" t="s">
        <v>14</v>
      </c>
      <c r="J105" s="34"/>
      <c r="K105" s="34"/>
      <c r="L105" s="48"/>
    </row>
    <row r="106" spans="2:12" x14ac:dyDescent="0.35">
      <c r="B106" s="47" t="s">
        <v>185</v>
      </c>
      <c r="C106" s="2" t="s">
        <v>195</v>
      </c>
      <c r="D106" s="2" t="s">
        <v>198</v>
      </c>
      <c r="E106" s="2" t="s">
        <v>199</v>
      </c>
      <c r="F106" s="2" t="s">
        <v>207</v>
      </c>
      <c r="G106" s="34">
        <v>3.0090666666666657</v>
      </c>
      <c r="H106" s="34">
        <v>2.7344166666666672</v>
      </c>
      <c r="I106" s="2" t="s">
        <v>10</v>
      </c>
      <c r="J106" s="34">
        <v>3.0090666666666657</v>
      </c>
      <c r="K106" s="34">
        <v>2.7344166666666672</v>
      </c>
      <c r="L106" s="56" t="s">
        <v>6</v>
      </c>
    </row>
    <row r="107" spans="2:12" x14ac:dyDescent="0.35">
      <c r="B107" s="47" t="s">
        <v>185</v>
      </c>
      <c r="C107" s="2" t="s">
        <v>195</v>
      </c>
      <c r="D107" s="2" t="s">
        <v>198</v>
      </c>
      <c r="E107" s="2" t="s">
        <v>208</v>
      </c>
      <c r="F107" s="2" t="s">
        <v>209</v>
      </c>
      <c r="G107" s="34">
        <v>4.376634894322418</v>
      </c>
      <c r="H107" s="34">
        <v>7.4730000000000008</v>
      </c>
      <c r="I107" s="2" t="s">
        <v>210</v>
      </c>
      <c r="J107" s="34">
        <v>4.4337463738085345</v>
      </c>
      <c r="K107" s="34">
        <v>6.4617777777777787</v>
      </c>
      <c r="L107" s="49" t="s">
        <v>8</v>
      </c>
    </row>
    <row r="108" spans="2:12" x14ac:dyDescent="0.35">
      <c r="B108" s="47" t="s">
        <v>185</v>
      </c>
      <c r="C108" s="2" t="s">
        <v>195</v>
      </c>
      <c r="D108" s="2" t="s">
        <v>198</v>
      </c>
      <c r="E108" s="2" t="s">
        <v>208</v>
      </c>
      <c r="F108" s="2" t="s">
        <v>209</v>
      </c>
      <c r="G108" s="34">
        <v>4.9286904268545335</v>
      </c>
      <c r="H108" s="34">
        <v>6.293333333333333</v>
      </c>
      <c r="I108" s="2" t="s">
        <v>123</v>
      </c>
      <c r="J108" s="34"/>
      <c r="K108" s="34"/>
      <c r="L108" s="48"/>
    </row>
    <row r="109" spans="2:12" x14ac:dyDescent="0.35">
      <c r="B109" s="47" t="s">
        <v>185</v>
      </c>
      <c r="C109" s="2" t="s">
        <v>195</v>
      </c>
      <c r="D109" s="2" t="s">
        <v>198</v>
      </c>
      <c r="E109" s="2" t="s">
        <v>208</v>
      </c>
      <c r="F109" s="2" t="s">
        <v>209</v>
      </c>
      <c r="G109" s="34">
        <v>3.9959138002486512</v>
      </c>
      <c r="H109" s="34">
        <v>5.6189999999999998</v>
      </c>
      <c r="I109" s="2" t="s">
        <v>120</v>
      </c>
      <c r="J109" s="34"/>
      <c r="K109" s="34"/>
      <c r="L109" s="48"/>
    </row>
    <row r="110" spans="2:12" x14ac:dyDescent="0.35">
      <c r="B110" s="47" t="s">
        <v>185</v>
      </c>
      <c r="C110" s="2" t="s">
        <v>195</v>
      </c>
      <c r="D110" s="2" t="s">
        <v>198</v>
      </c>
      <c r="E110" s="2" t="s">
        <v>211</v>
      </c>
      <c r="F110" s="2" t="s">
        <v>212</v>
      </c>
      <c r="G110" s="34">
        <v>5.1000496082953335</v>
      </c>
      <c r="H110" s="34">
        <v>4.8501980505066662</v>
      </c>
      <c r="I110" s="2" t="s">
        <v>15</v>
      </c>
      <c r="J110" s="34">
        <v>5.1000496082953335</v>
      </c>
      <c r="K110" s="34">
        <v>4.8501980505066662</v>
      </c>
      <c r="L110" s="56" t="s">
        <v>6</v>
      </c>
    </row>
    <row r="111" spans="2:12" x14ac:dyDescent="0.35">
      <c r="B111" s="47" t="s">
        <v>185</v>
      </c>
      <c r="C111" s="2" t="s">
        <v>195</v>
      </c>
      <c r="D111" s="2" t="s">
        <v>198</v>
      </c>
      <c r="E111" s="2" t="s">
        <v>211</v>
      </c>
      <c r="F111" s="2" t="s">
        <v>213</v>
      </c>
      <c r="G111" s="34">
        <v>4.4523623122907372</v>
      </c>
      <c r="H111" s="34">
        <v>8.975600592426316</v>
      </c>
      <c r="I111" s="2" t="s">
        <v>12</v>
      </c>
      <c r="J111" s="34">
        <v>4.4523623122907372</v>
      </c>
      <c r="K111" s="34">
        <v>8.975600592426316</v>
      </c>
      <c r="L111" s="49" t="s">
        <v>8</v>
      </c>
    </row>
    <row r="112" spans="2:12" x14ac:dyDescent="0.35">
      <c r="B112" s="47" t="s">
        <v>185</v>
      </c>
      <c r="C112" s="2" t="s">
        <v>195</v>
      </c>
      <c r="D112" s="2" t="s">
        <v>198</v>
      </c>
      <c r="E112" s="2" t="s">
        <v>214</v>
      </c>
      <c r="F112" s="2" t="s">
        <v>215</v>
      </c>
      <c r="G112" s="34">
        <v>6.043049608295334</v>
      </c>
      <c r="H112" s="34">
        <v>7.1351980505066663</v>
      </c>
      <c r="I112" s="2" t="s">
        <v>66</v>
      </c>
      <c r="J112" s="34">
        <v>5.1869096164638755</v>
      </c>
      <c r="K112" s="34">
        <v>5.601807358586667</v>
      </c>
      <c r="L112" s="49" t="s">
        <v>8</v>
      </c>
    </row>
    <row r="113" spans="2:12" x14ac:dyDescent="0.35">
      <c r="B113" s="47" t="s">
        <v>185</v>
      </c>
      <c r="C113" s="2" t="s">
        <v>195</v>
      </c>
      <c r="D113" s="2" t="s">
        <v>198</v>
      </c>
      <c r="E113" s="2" t="s">
        <v>214</v>
      </c>
      <c r="F113" s="2" t="s">
        <v>215</v>
      </c>
      <c r="G113" s="34">
        <v>4.330769624632417</v>
      </c>
      <c r="H113" s="34">
        <v>4.0684166666666668</v>
      </c>
      <c r="I113" s="2" t="s">
        <v>10</v>
      </c>
      <c r="J113" s="34"/>
      <c r="K113" s="34"/>
      <c r="L113" s="48"/>
    </row>
    <row r="114" spans="2:12" x14ac:dyDescent="0.35">
      <c r="B114" s="47" t="s">
        <v>185</v>
      </c>
      <c r="C114" s="2" t="s">
        <v>195</v>
      </c>
      <c r="D114" s="2" t="s">
        <v>198</v>
      </c>
      <c r="E114" s="2" t="s">
        <v>216</v>
      </c>
      <c r="F114" s="2" t="s">
        <v>217</v>
      </c>
      <c r="G114" s="34">
        <v>2.0484343036132131</v>
      </c>
      <c r="H114" s="34">
        <v>2.3987947408931358</v>
      </c>
      <c r="I114" s="2" t="s">
        <v>218</v>
      </c>
      <c r="J114" s="34">
        <v>2.363890626358117</v>
      </c>
      <c r="K114" s="34">
        <v>3.9552378220914366</v>
      </c>
      <c r="L114" s="56" t="s">
        <v>6</v>
      </c>
    </row>
    <row r="115" spans="2:12" ht="14.6" thickBot="1" x14ac:dyDescent="0.4">
      <c r="B115" s="50" t="s">
        <v>185</v>
      </c>
      <c r="C115" s="51" t="s">
        <v>195</v>
      </c>
      <c r="D115" s="51" t="s">
        <v>198</v>
      </c>
      <c r="E115" s="51" t="s">
        <v>216</v>
      </c>
      <c r="F115" s="51" t="s">
        <v>217</v>
      </c>
      <c r="G115" s="52">
        <v>2.6793469491030208</v>
      </c>
      <c r="H115" s="52">
        <v>5.5116809032897374</v>
      </c>
      <c r="I115" s="51" t="s">
        <v>14</v>
      </c>
      <c r="J115" s="52"/>
      <c r="K115" s="52"/>
      <c r="L115" s="57"/>
    </row>
    <row r="116" spans="2:12" x14ac:dyDescent="0.35">
      <c r="D116" s="2" t="s">
        <v>197</v>
      </c>
      <c r="E116" s="2" t="s">
        <v>541</v>
      </c>
      <c r="G116" s="34">
        <f>AVERAGE(G92:G115)</f>
        <v>4.9548469082648605</v>
      </c>
      <c r="H116" s="34">
        <f>AVERAGE(H92:H115)</f>
        <v>4.3925491990476901</v>
      </c>
      <c r="L116" s="55" t="s">
        <v>6</v>
      </c>
    </row>
    <row r="117" spans="2:12" ht="14.6" thickBot="1" x14ac:dyDescent="0.4"/>
    <row r="118" spans="2:12" x14ac:dyDescent="0.35">
      <c r="B118" s="43" t="s">
        <v>185</v>
      </c>
      <c r="C118" s="44" t="s">
        <v>229</v>
      </c>
      <c r="D118" s="44" t="s">
        <v>277</v>
      </c>
      <c r="E118" s="44" t="s">
        <v>278</v>
      </c>
      <c r="F118" s="44" t="s">
        <v>279</v>
      </c>
      <c r="G118" s="45">
        <v>4.3934986301124752</v>
      </c>
      <c r="H118" s="45">
        <v>1.7514644493309679</v>
      </c>
      <c r="I118" s="44" t="s">
        <v>96</v>
      </c>
      <c r="J118" s="45">
        <v>4.3338916498133973</v>
      </c>
      <c r="K118" s="45">
        <v>0.222671650949749</v>
      </c>
      <c r="L118" s="46" t="s">
        <v>19</v>
      </c>
    </row>
    <row r="119" spans="2:12" x14ac:dyDescent="0.35">
      <c r="B119" s="47" t="s">
        <v>185</v>
      </c>
      <c r="C119" s="2" t="s">
        <v>229</v>
      </c>
      <c r="D119" s="2" t="s">
        <v>277</v>
      </c>
      <c r="E119" s="2" t="s">
        <v>278</v>
      </c>
      <c r="F119" s="2" t="s">
        <v>279</v>
      </c>
      <c r="G119" s="34">
        <v>5.7659593821510313</v>
      </c>
      <c r="H119" s="34">
        <v>0.20674999999999999</v>
      </c>
      <c r="I119" s="2" t="s">
        <v>86</v>
      </c>
      <c r="J119" s="34"/>
      <c r="K119" s="34"/>
      <c r="L119" s="48"/>
    </row>
    <row r="120" spans="2:12" x14ac:dyDescent="0.35">
      <c r="B120" s="47" t="s">
        <v>185</v>
      </c>
      <c r="C120" s="2" t="s">
        <v>229</v>
      </c>
      <c r="D120" s="2" t="s">
        <v>277</v>
      </c>
      <c r="E120" s="2" t="s">
        <v>278</v>
      </c>
      <c r="F120" s="2" t="s">
        <v>279</v>
      </c>
      <c r="G120" s="34">
        <v>3.7105033996912944</v>
      </c>
      <c r="H120" s="34">
        <v>-1.6925976055555558</v>
      </c>
      <c r="I120" s="2" t="s">
        <v>94</v>
      </c>
      <c r="J120" s="34"/>
      <c r="K120" s="34"/>
      <c r="L120" s="48"/>
    </row>
    <row r="121" spans="2:12" x14ac:dyDescent="0.35">
      <c r="B121" s="47" t="s">
        <v>185</v>
      </c>
      <c r="C121" s="2" t="s">
        <v>229</v>
      </c>
      <c r="D121" s="2" t="s">
        <v>277</v>
      </c>
      <c r="E121" s="2" t="s">
        <v>278</v>
      </c>
      <c r="F121" s="2" t="s">
        <v>279</v>
      </c>
      <c r="G121" s="34">
        <v>5.1873082231052976</v>
      </c>
      <c r="H121" s="34">
        <v>1.7994080776399994</v>
      </c>
      <c r="I121" s="2" t="s">
        <v>180</v>
      </c>
      <c r="J121" s="34"/>
      <c r="K121" s="34"/>
      <c r="L121" s="48"/>
    </row>
    <row r="122" spans="2:12" x14ac:dyDescent="0.35">
      <c r="B122" s="47" t="s">
        <v>185</v>
      </c>
      <c r="C122" s="2" t="s">
        <v>229</v>
      </c>
      <c r="D122" s="2" t="s">
        <v>277</v>
      </c>
      <c r="E122" s="2" t="s">
        <v>278</v>
      </c>
      <c r="F122" s="2" t="s">
        <v>279</v>
      </c>
      <c r="G122" s="34">
        <v>2.612188614006886</v>
      </c>
      <c r="H122" s="34">
        <v>-0.95166666666666677</v>
      </c>
      <c r="I122" s="2" t="s">
        <v>16</v>
      </c>
      <c r="J122" s="34"/>
      <c r="K122" s="34"/>
      <c r="L122" s="48"/>
    </row>
    <row r="123" spans="2:12" x14ac:dyDescent="0.35">
      <c r="B123" s="47" t="s">
        <v>185</v>
      </c>
      <c r="C123" s="2" t="s">
        <v>229</v>
      </c>
      <c r="D123" s="2" t="s">
        <v>277</v>
      </c>
      <c r="E123" s="2" t="s">
        <v>278</v>
      </c>
      <c r="F123" s="2" t="s">
        <v>280</v>
      </c>
      <c r="G123" s="34">
        <v>3.1200277226677144</v>
      </c>
      <c r="H123" s="34">
        <v>0.33568790229428602</v>
      </c>
      <c r="I123" s="2" t="s">
        <v>238</v>
      </c>
      <c r="J123" s="34">
        <v>3.1200277226677144</v>
      </c>
      <c r="K123" s="34">
        <v>0.33568790229428602</v>
      </c>
      <c r="L123" s="63" t="s">
        <v>19</v>
      </c>
    </row>
    <row r="124" spans="2:12" ht="14.6" thickBot="1" x14ac:dyDescent="0.4">
      <c r="B124" s="50" t="s">
        <v>185</v>
      </c>
      <c r="C124" s="51" t="s">
        <v>229</v>
      </c>
      <c r="D124" s="51" t="s">
        <v>277</v>
      </c>
      <c r="E124" s="51" t="s">
        <v>281</v>
      </c>
      <c r="F124" s="51" t="s">
        <v>282</v>
      </c>
      <c r="G124" s="52">
        <v>4.7666666666666693</v>
      </c>
      <c r="H124" s="52">
        <v>0.53333333333333321</v>
      </c>
      <c r="I124" s="51" t="s">
        <v>140</v>
      </c>
      <c r="J124" s="52">
        <v>4.7666666666666693</v>
      </c>
      <c r="K124" s="52">
        <v>0.53333333333333321</v>
      </c>
      <c r="L124" s="60" t="s">
        <v>19</v>
      </c>
    </row>
    <row r="125" spans="2:12" x14ac:dyDescent="0.35">
      <c r="D125" s="2" t="s">
        <v>276</v>
      </c>
      <c r="E125" s="2" t="s">
        <v>542</v>
      </c>
      <c r="G125" s="34">
        <f>AVERAGE($G$118:$G$124)</f>
        <v>4.2223075197716238</v>
      </c>
      <c r="H125" s="34">
        <f>AVERAGE($H$118:$H$124)</f>
        <v>0.28319707005376632</v>
      </c>
      <c r="L125" s="61" t="s">
        <v>19</v>
      </c>
    </row>
    <row r="126" spans="2:12" x14ac:dyDescent="0.35">
      <c r="D126" s="2" t="s">
        <v>276</v>
      </c>
      <c r="E126" s="2" t="s">
        <v>543</v>
      </c>
      <c r="G126" s="34">
        <f>AVERAGE($G$118:$G$124)</f>
        <v>4.2223075197716238</v>
      </c>
      <c r="H126" s="34">
        <f>AVERAGE($H$118:$H$124)</f>
        <v>0.28319707005376632</v>
      </c>
      <c r="L126" s="61" t="s">
        <v>19</v>
      </c>
    </row>
    <row r="127" spans="2:12" ht="14.6" thickBot="1" x14ac:dyDescent="0.4"/>
    <row r="128" spans="2:12" x14ac:dyDescent="0.35">
      <c r="B128" s="43" t="s">
        <v>185</v>
      </c>
      <c r="C128" s="44" t="s">
        <v>229</v>
      </c>
      <c r="D128" s="44" t="s">
        <v>284</v>
      </c>
      <c r="E128" s="44" t="s">
        <v>285</v>
      </c>
      <c r="F128" s="44" t="s">
        <v>286</v>
      </c>
      <c r="G128" s="45">
        <v>5.305435623839081</v>
      </c>
      <c r="H128" s="45">
        <v>2.1047947408931362</v>
      </c>
      <c r="I128" s="44" t="s">
        <v>202</v>
      </c>
      <c r="J128" s="45">
        <v>5.305435623839081</v>
      </c>
      <c r="K128" s="45">
        <v>2.1047947408931362</v>
      </c>
      <c r="L128" s="58" t="s">
        <v>6</v>
      </c>
    </row>
    <row r="129" spans="2:12" ht="14.6" thickBot="1" x14ac:dyDescent="0.4">
      <c r="B129" s="50" t="s">
        <v>185</v>
      </c>
      <c r="C129" s="51" t="s">
        <v>229</v>
      </c>
      <c r="D129" s="51" t="s">
        <v>284</v>
      </c>
      <c r="E129" s="51" t="s">
        <v>285</v>
      </c>
      <c r="F129" s="51" t="s">
        <v>287</v>
      </c>
      <c r="G129" s="52">
        <v>3.985890659999999</v>
      </c>
      <c r="H129" s="52">
        <v>1.9826868420000001</v>
      </c>
      <c r="I129" s="51" t="s">
        <v>30</v>
      </c>
      <c r="J129" s="52">
        <v>3.985890659999999</v>
      </c>
      <c r="K129" s="52">
        <v>1.9826868420000001</v>
      </c>
      <c r="L129" s="53" t="s">
        <v>6</v>
      </c>
    </row>
    <row r="130" spans="2:12" x14ac:dyDescent="0.35">
      <c r="D130" s="2" t="s">
        <v>283</v>
      </c>
      <c r="E130" s="2" t="s">
        <v>544</v>
      </c>
      <c r="G130" s="34">
        <f>AVERAGE(G128:G129)</f>
        <v>4.64566314191954</v>
      </c>
      <c r="H130" s="34">
        <f>AVERAGE(H128:H129)</f>
        <v>2.0437407914465684</v>
      </c>
      <c r="L130" s="55" t="s">
        <v>6</v>
      </c>
    </row>
    <row r="131" spans="2:12" ht="14.6" thickBot="1" x14ac:dyDescent="0.4"/>
    <row r="132" spans="2:12" x14ac:dyDescent="0.35">
      <c r="B132" s="43" t="s">
        <v>185</v>
      </c>
      <c r="C132" s="44" t="s">
        <v>312</v>
      </c>
      <c r="D132" s="44" t="s">
        <v>315</v>
      </c>
      <c r="E132" s="44" t="s">
        <v>316</v>
      </c>
      <c r="F132" s="44" t="s">
        <v>317</v>
      </c>
      <c r="G132" s="45">
        <v>6.0516000000000005</v>
      </c>
      <c r="H132" s="45">
        <v>0.99350000000000049</v>
      </c>
      <c r="I132" s="44" t="s">
        <v>87</v>
      </c>
      <c r="J132" s="45">
        <v>6.0516000000000005</v>
      </c>
      <c r="K132" s="45">
        <v>0.99350000000000049</v>
      </c>
      <c r="L132" s="46" t="s">
        <v>19</v>
      </c>
    </row>
    <row r="133" spans="2:12" x14ac:dyDescent="0.35">
      <c r="B133" s="47" t="s">
        <v>185</v>
      </c>
      <c r="C133" s="2" t="s">
        <v>312</v>
      </c>
      <c r="D133" s="2" t="s">
        <v>315</v>
      </c>
      <c r="E133" s="2" t="s">
        <v>318</v>
      </c>
      <c r="F133" s="2" t="s">
        <v>319</v>
      </c>
      <c r="G133" s="34">
        <v>4.2511017100000004</v>
      </c>
      <c r="H133" s="34">
        <v>0.88968684200000003</v>
      </c>
      <c r="I133" s="2" t="s">
        <v>30</v>
      </c>
      <c r="J133" s="34">
        <v>4.2511017100000004</v>
      </c>
      <c r="K133" s="34">
        <v>0.88968684200000003</v>
      </c>
      <c r="L133" s="63" t="s">
        <v>19</v>
      </c>
    </row>
    <row r="134" spans="2:12" x14ac:dyDescent="0.35">
      <c r="B134" s="47" t="s">
        <v>185</v>
      </c>
      <c r="C134" s="2" t="s">
        <v>312</v>
      </c>
      <c r="D134" s="2" t="s">
        <v>315</v>
      </c>
      <c r="E134" s="2" t="s">
        <v>320</v>
      </c>
      <c r="F134" s="2" t="s">
        <v>321</v>
      </c>
      <c r="G134" s="34">
        <v>5.5230496082953309</v>
      </c>
      <c r="H134" s="34">
        <v>4.9251980505066664</v>
      </c>
      <c r="I134" s="2" t="s">
        <v>66</v>
      </c>
      <c r="J134" s="34">
        <v>5.5230496082953309</v>
      </c>
      <c r="K134" s="34">
        <v>4.9251980505066664</v>
      </c>
      <c r="L134" s="56" t="s">
        <v>6</v>
      </c>
    </row>
    <row r="135" spans="2:12" x14ac:dyDescent="0.35">
      <c r="B135" s="47" t="s">
        <v>185</v>
      </c>
      <c r="C135" s="2" t="s">
        <v>312</v>
      </c>
      <c r="D135" s="2" t="s">
        <v>315</v>
      </c>
      <c r="E135" s="2" t="s">
        <v>320</v>
      </c>
      <c r="F135" s="2" t="s">
        <v>322</v>
      </c>
      <c r="G135" s="34">
        <v>5.8102292859296156</v>
      </c>
      <c r="H135" s="34">
        <v>5.7125808431266663</v>
      </c>
      <c r="I135" s="2" t="s">
        <v>13</v>
      </c>
      <c r="J135" s="34">
        <v>5.4136394471124749</v>
      </c>
      <c r="K135" s="34">
        <v>5.4783894468166663</v>
      </c>
      <c r="L135" s="49" t="s">
        <v>8</v>
      </c>
    </row>
    <row r="136" spans="2:12" x14ac:dyDescent="0.35">
      <c r="B136" s="47" t="s">
        <v>185</v>
      </c>
      <c r="C136" s="2" t="s">
        <v>312</v>
      </c>
      <c r="D136" s="2" t="s">
        <v>315</v>
      </c>
      <c r="E136" s="2" t="s">
        <v>320</v>
      </c>
      <c r="F136" s="2" t="s">
        <v>322</v>
      </c>
      <c r="G136" s="34">
        <v>5.0170496082953342</v>
      </c>
      <c r="H136" s="34">
        <v>5.2441980505066663</v>
      </c>
      <c r="I136" s="2" t="s">
        <v>15</v>
      </c>
      <c r="J136" s="34"/>
      <c r="K136" s="34"/>
      <c r="L136" s="48"/>
    </row>
    <row r="137" spans="2:12" ht="14.6" thickBot="1" x14ac:dyDescent="0.4">
      <c r="B137" s="50" t="s">
        <v>185</v>
      </c>
      <c r="C137" s="51" t="s">
        <v>312</v>
      </c>
      <c r="D137" s="51" t="s">
        <v>315</v>
      </c>
      <c r="E137" s="51"/>
      <c r="F137" s="51"/>
      <c r="G137" s="52">
        <v>5.5913769935997273</v>
      </c>
      <c r="H137" s="52">
        <v>4.5444166666666668</v>
      </c>
      <c r="I137" s="51" t="s">
        <v>10</v>
      </c>
      <c r="J137" s="52">
        <v>5.5913769935997273</v>
      </c>
      <c r="K137" s="52">
        <v>4.5444166666666668</v>
      </c>
      <c r="L137" s="53" t="s">
        <v>6</v>
      </c>
    </row>
    <row r="138" spans="2:12" x14ac:dyDescent="0.35">
      <c r="D138" s="2" t="s">
        <v>314</v>
      </c>
      <c r="E138" s="2" t="s">
        <v>545</v>
      </c>
      <c r="G138" s="34">
        <f>AVERAGE(G132:G137)</f>
        <v>5.3740678676866684</v>
      </c>
      <c r="H138" s="34">
        <f>AVERAGE(H132:H137)</f>
        <v>3.7182634088011111</v>
      </c>
      <c r="L138" s="55" t="s">
        <v>6</v>
      </c>
    </row>
    <row r="139" spans="2:12" ht="14.6" thickBot="1" x14ac:dyDescent="0.4"/>
    <row r="140" spans="2:12" x14ac:dyDescent="0.35">
      <c r="B140" s="43" t="s">
        <v>185</v>
      </c>
      <c r="C140" s="44" t="s">
        <v>312</v>
      </c>
      <c r="D140" s="44" t="s">
        <v>326</v>
      </c>
      <c r="E140" s="44" t="s">
        <v>336</v>
      </c>
      <c r="F140" s="44" t="s">
        <v>337</v>
      </c>
      <c r="G140" s="45">
        <v>4.4559193700000002</v>
      </c>
      <c r="H140" s="45">
        <v>5.6937833329999998</v>
      </c>
      <c r="I140" s="44" t="s">
        <v>30</v>
      </c>
      <c r="J140" s="45">
        <v>4.4559193700000002</v>
      </c>
      <c r="K140" s="45">
        <v>5.6937833329999998</v>
      </c>
      <c r="L140" s="62" t="s">
        <v>8</v>
      </c>
    </row>
    <row r="141" spans="2:12" x14ac:dyDescent="0.35">
      <c r="B141" s="47" t="s">
        <v>185</v>
      </c>
      <c r="C141" s="2" t="s">
        <v>312</v>
      </c>
      <c r="D141" s="2" t="s">
        <v>326</v>
      </c>
      <c r="E141" s="2" t="s">
        <v>342</v>
      </c>
      <c r="F141" s="2" t="s">
        <v>343</v>
      </c>
      <c r="G141" s="34">
        <v>5.433049608295331</v>
      </c>
      <c r="H141" s="34">
        <v>4.775198050506666</v>
      </c>
      <c r="I141" s="2" t="s">
        <v>66</v>
      </c>
      <c r="J141" s="34">
        <v>3.744873329553668</v>
      </c>
      <c r="K141" s="34">
        <v>5.438246443853334</v>
      </c>
      <c r="L141" s="49" t="s">
        <v>8</v>
      </c>
    </row>
    <row r="142" spans="2:12" x14ac:dyDescent="0.35">
      <c r="B142" s="47" t="s">
        <v>185</v>
      </c>
      <c r="C142" s="2" t="s">
        <v>312</v>
      </c>
      <c r="D142" s="2" t="s">
        <v>326</v>
      </c>
      <c r="E142" s="2" t="s">
        <v>342</v>
      </c>
      <c r="F142" s="2" t="s">
        <v>343</v>
      </c>
      <c r="G142" s="34">
        <v>2.056697050812005</v>
      </c>
      <c r="H142" s="34">
        <v>6.1012948372000011</v>
      </c>
      <c r="I142" s="2" t="s">
        <v>182</v>
      </c>
      <c r="J142" s="34"/>
      <c r="K142" s="34"/>
      <c r="L142" s="48"/>
    </row>
    <row r="143" spans="2:12" x14ac:dyDescent="0.35">
      <c r="B143" s="47" t="s">
        <v>185</v>
      </c>
      <c r="C143" s="2" t="s">
        <v>312</v>
      </c>
      <c r="D143" s="2" t="s">
        <v>326</v>
      </c>
      <c r="E143" s="2" t="s">
        <v>344</v>
      </c>
      <c r="F143" s="2" t="s">
        <v>345</v>
      </c>
      <c r="G143" s="34">
        <v>3.75</v>
      </c>
      <c r="H143" s="34">
        <v>3.9</v>
      </c>
      <c r="I143" s="2" t="s">
        <v>22</v>
      </c>
      <c r="J143" s="34">
        <v>3.75</v>
      </c>
      <c r="K143" s="34">
        <v>3.9</v>
      </c>
      <c r="L143" s="56" t="s">
        <v>6</v>
      </c>
    </row>
    <row r="144" spans="2:12" x14ac:dyDescent="0.35">
      <c r="B144" s="47" t="s">
        <v>185</v>
      </c>
      <c r="C144" s="2" t="s">
        <v>312</v>
      </c>
      <c r="D144" s="2" t="s">
        <v>326</v>
      </c>
      <c r="E144" s="2" t="s">
        <v>346</v>
      </c>
      <c r="F144" s="2" t="s">
        <v>347</v>
      </c>
      <c r="G144" s="34">
        <v>3.9956521850000009</v>
      </c>
      <c r="H144" s="34">
        <v>5.6957833329999996</v>
      </c>
      <c r="I144" s="2" t="s">
        <v>30</v>
      </c>
      <c r="J144" s="34">
        <v>3.9956521850000009</v>
      </c>
      <c r="K144" s="34">
        <v>5.6957833329999996</v>
      </c>
      <c r="L144" s="49" t="s">
        <v>8</v>
      </c>
    </row>
    <row r="145" spans="2:12" x14ac:dyDescent="0.35">
      <c r="B145" s="47" t="s">
        <v>185</v>
      </c>
      <c r="C145" s="2" t="s">
        <v>312</v>
      </c>
      <c r="D145" s="2" t="s">
        <v>326</v>
      </c>
      <c r="E145" s="2" t="s">
        <v>338</v>
      </c>
      <c r="F145" s="2" t="s">
        <v>339</v>
      </c>
      <c r="G145" s="34">
        <v>6.1930496082953326</v>
      </c>
      <c r="H145" s="34">
        <v>7.6851980505066662</v>
      </c>
      <c r="I145" s="2" t="s">
        <v>66</v>
      </c>
      <c r="J145" s="34">
        <v>4.9959320891342243</v>
      </c>
      <c r="K145" s="34">
        <v>7.3025636460711114</v>
      </c>
      <c r="L145" s="49" t="s">
        <v>8</v>
      </c>
    </row>
    <row r="146" spans="2:12" x14ac:dyDescent="0.35">
      <c r="B146" s="47" t="s">
        <v>185</v>
      </c>
      <c r="C146" s="2" t="s">
        <v>312</v>
      </c>
      <c r="D146" s="2" t="s">
        <v>326</v>
      </c>
      <c r="E146" s="2" t="s">
        <v>338</v>
      </c>
      <c r="F146" s="2" t="s">
        <v>339</v>
      </c>
      <c r="G146" s="34">
        <v>4.3566970508120058</v>
      </c>
      <c r="H146" s="34">
        <v>6.9212948372000014</v>
      </c>
      <c r="I146" s="2" t="s">
        <v>182</v>
      </c>
      <c r="J146" s="34"/>
      <c r="K146" s="34"/>
      <c r="L146" s="48"/>
    </row>
    <row r="147" spans="2:12" x14ac:dyDescent="0.35">
      <c r="B147" s="47" t="s">
        <v>185</v>
      </c>
      <c r="C147" s="2" t="s">
        <v>312</v>
      </c>
      <c r="D147" s="2" t="s">
        <v>326</v>
      </c>
      <c r="E147" s="2" t="s">
        <v>338</v>
      </c>
      <c r="F147" s="2" t="s">
        <v>339</v>
      </c>
      <c r="G147" s="34">
        <v>4.4380496082953336</v>
      </c>
      <c r="H147" s="34">
        <v>7.3011980505066667</v>
      </c>
      <c r="I147" s="2" t="s">
        <v>15</v>
      </c>
      <c r="J147" s="34"/>
      <c r="K147" s="34"/>
      <c r="L147" s="48"/>
    </row>
    <row r="148" spans="2:12" ht="16.75" x14ac:dyDescent="0.35">
      <c r="B148" s="47" t="s">
        <v>185</v>
      </c>
      <c r="C148" s="2" t="s">
        <v>312</v>
      </c>
      <c r="D148" s="2" t="s">
        <v>326</v>
      </c>
      <c r="E148" s="2" t="s">
        <v>340</v>
      </c>
      <c r="F148" s="2" t="s">
        <v>341</v>
      </c>
      <c r="G148" s="34">
        <v>7.9853748798952982</v>
      </c>
      <c r="H148" s="34">
        <v>4.0528458809999997</v>
      </c>
      <c r="I148" s="2" t="s">
        <v>126</v>
      </c>
      <c r="J148" s="34">
        <v>7.9853748798952982</v>
      </c>
      <c r="K148" s="34">
        <v>4.0528458809999997</v>
      </c>
      <c r="L148" s="65" t="s">
        <v>604</v>
      </c>
    </row>
    <row r="149" spans="2:12" x14ac:dyDescent="0.35">
      <c r="B149" s="47" t="s">
        <v>185</v>
      </c>
      <c r="C149" s="2" t="s">
        <v>312</v>
      </c>
      <c r="D149" s="2" t="s">
        <v>326</v>
      </c>
      <c r="E149" s="2" t="s">
        <v>348</v>
      </c>
      <c r="F149" s="2" t="s">
        <v>349</v>
      </c>
      <c r="G149" s="34">
        <v>3.25435096</v>
      </c>
      <c r="H149" s="34">
        <v>4.1934325727499999</v>
      </c>
      <c r="I149" s="2" t="s">
        <v>30</v>
      </c>
      <c r="J149" s="34">
        <v>3.25435096</v>
      </c>
      <c r="K149" s="34">
        <v>4.1934325727499999</v>
      </c>
      <c r="L149" s="56" t="s">
        <v>6</v>
      </c>
    </row>
    <row r="150" spans="2:12" x14ac:dyDescent="0.35">
      <c r="B150" s="47" t="s">
        <v>185</v>
      </c>
      <c r="C150" s="2" t="s">
        <v>312</v>
      </c>
      <c r="D150" s="2" t="s">
        <v>326</v>
      </c>
      <c r="E150" s="2" t="s">
        <v>350</v>
      </c>
      <c r="F150" s="2" t="s">
        <v>351</v>
      </c>
      <c r="G150" s="34">
        <v>4.8706095083936773</v>
      </c>
      <c r="H150" s="34">
        <v>3.9671940611111109</v>
      </c>
      <c r="I150" s="2" t="s">
        <v>94</v>
      </c>
      <c r="J150" s="34">
        <v>4.8706095083936773</v>
      </c>
      <c r="K150" s="34">
        <v>3.9671940611111109</v>
      </c>
      <c r="L150" s="56" t="s">
        <v>6</v>
      </c>
    </row>
    <row r="151" spans="2:12" x14ac:dyDescent="0.35">
      <c r="B151" s="47" t="s">
        <v>185</v>
      </c>
      <c r="C151" s="2" t="s">
        <v>312</v>
      </c>
      <c r="D151" s="2" t="s">
        <v>326</v>
      </c>
      <c r="E151" s="2" t="s">
        <v>323</v>
      </c>
      <c r="F151" s="2" t="s">
        <v>327</v>
      </c>
      <c r="G151" s="34">
        <v>4.7001698254853181</v>
      </c>
      <c r="H151" s="34">
        <v>5.9879023944444452</v>
      </c>
      <c r="I151" s="2" t="s">
        <v>94</v>
      </c>
      <c r="J151" s="34">
        <v>4.7001698254853181</v>
      </c>
      <c r="K151" s="34">
        <v>5.9879023944444452</v>
      </c>
      <c r="L151" s="49" t="s">
        <v>8</v>
      </c>
    </row>
    <row r="152" spans="2:12" x14ac:dyDescent="0.35">
      <c r="B152" s="47" t="s">
        <v>185</v>
      </c>
      <c r="C152" s="2" t="s">
        <v>312</v>
      </c>
      <c r="D152" s="2" t="s">
        <v>326</v>
      </c>
      <c r="E152" s="2" t="s">
        <v>328</v>
      </c>
      <c r="F152" s="2" t="s">
        <v>329</v>
      </c>
      <c r="G152" s="34">
        <v>6.0730496082953316</v>
      </c>
      <c r="H152" s="34">
        <v>5.1051980505066661</v>
      </c>
      <c r="I152" s="2" t="s">
        <v>66</v>
      </c>
      <c r="J152" s="34">
        <v>5.3980496082953326</v>
      </c>
      <c r="K152" s="34">
        <v>5.1961980505066663</v>
      </c>
      <c r="L152" s="49" t="s">
        <v>8</v>
      </c>
    </row>
    <row r="153" spans="2:12" x14ac:dyDescent="0.35">
      <c r="B153" s="47" t="s">
        <v>185</v>
      </c>
      <c r="C153" s="2" t="s">
        <v>312</v>
      </c>
      <c r="D153" s="2" t="s">
        <v>326</v>
      </c>
      <c r="E153" s="2" t="s">
        <v>328</v>
      </c>
      <c r="F153" s="2" t="s">
        <v>329</v>
      </c>
      <c r="G153" s="34">
        <v>4.7230496082953337</v>
      </c>
      <c r="H153" s="34">
        <v>5.2871980505066656</v>
      </c>
      <c r="I153" s="2" t="s">
        <v>15</v>
      </c>
      <c r="J153" s="34"/>
      <c r="K153" s="34"/>
      <c r="L153" s="48"/>
    </row>
    <row r="154" spans="2:12" x14ac:dyDescent="0.35">
      <c r="B154" s="47" t="s">
        <v>185</v>
      </c>
      <c r="C154" s="2" t="s">
        <v>312</v>
      </c>
      <c r="D154" s="2" t="s">
        <v>326</v>
      </c>
      <c r="E154" s="2" t="s">
        <v>328</v>
      </c>
      <c r="F154" s="2" t="s">
        <v>330</v>
      </c>
      <c r="G154" s="34">
        <v>3.0517978668529544</v>
      </c>
      <c r="H154" s="34">
        <v>5.9970944116450005</v>
      </c>
      <c r="I154" s="2" t="s">
        <v>13</v>
      </c>
      <c r="J154" s="34">
        <v>3.0517978668529544</v>
      </c>
      <c r="K154" s="34">
        <v>5.9970944116450005</v>
      </c>
      <c r="L154" s="49" t="s">
        <v>8</v>
      </c>
    </row>
    <row r="155" spans="2:12" x14ac:dyDescent="0.35">
      <c r="B155" s="47" t="s">
        <v>185</v>
      </c>
      <c r="C155" s="2" t="s">
        <v>312</v>
      </c>
      <c r="D155" s="2" t="s">
        <v>326</v>
      </c>
      <c r="E155" s="2" t="s">
        <v>328</v>
      </c>
      <c r="F155" s="2" t="s">
        <v>331</v>
      </c>
      <c r="G155" s="34">
        <v>4.7176335205594384</v>
      </c>
      <c r="H155" s="34">
        <v>7.7957421690331579</v>
      </c>
      <c r="I155" s="2" t="s">
        <v>12</v>
      </c>
      <c r="J155" s="34">
        <v>6.1003167602797195</v>
      </c>
      <c r="K155" s="34">
        <v>5.6044210845165789</v>
      </c>
      <c r="L155" s="49" t="s">
        <v>8</v>
      </c>
    </row>
    <row r="156" spans="2:12" x14ac:dyDescent="0.35">
      <c r="B156" s="47" t="s">
        <v>185</v>
      </c>
      <c r="C156" s="2" t="s">
        <v>312</v>
      </c>
      <c r="D156" s="2" t="s">
        <v>326</v>
      </c>
      <c r="E156" s="2" t="s">
        <v>328</v>
      </c>
      <c r="F156" s="2" t="s">
        <v>331</v>
      </c>
      <c r="G156" s="34">
        <v>7.4830000000000005</v>
      </c>
      <c r="H156" s="34">
        <v>3.4131</v>
      </c>
      <c r="I156" s="2" t="s">
        <v>88</v>
      </c>
      <c r="J156" s="34"/>
      <c r="K156" s="34"/>
      <c r="L156" s="48"/>
    </row>
    <row r="157" spans="2:12" x14ac:dyDescent="0.35">
      <c r="B157" s="47" t="s">
        <v>185</v>
      </c>
      <c r="C157" s="2" t="s">
        <v>312</v>
      </c>
      <c r="D157" s="2" t="s">
        <v>326</v>
      </c>
      <c r="E157" s="2" t="s">
        <v>328</v>
      </c>
      <c r="F157" s="2" t="s">
        <v>332</v>
      </c>
      <c r="G157" s="34">
        <v>3.208716190691522</v>
      </c>
      <c r="H157" s="34">
        <v>5.7519803439999997</v>
      </c>
      <c r="I157" s="2" t="s">
        <v>13</v>
      </c>
      <c r="J157" s="34">
        <v>4.2819219329956182</v>
      </c>
      <c r="K157" s="34">
        <v>6.0537261315022226</v>
      </c>
      <c r="L157" s="49" t="s">
        <v>8</v>
      </c>
    </row>
    <row r="158" spans="2:12" x14ac:dyDescent="0.35">
      <c r="B158" s="47" t="s">
        <v>185</v>
      </c>
      <c r="C158" s="2" t="s">
        <v>312</v>
      </c>
      <c r="D158" s="2" t="s">
        <v>326</v>
      </c>
      <c r="E158" s="2" t="s">
        <v>328</v>
      </c>
      <c r="F158" s="2" t="s">
        <v>332</v>
      </c>
      <c r="G158" s="34">
        <v>4.9470496082953339</v>
      </c>
      <c r="H158" s="34">
        <v>5.8411980505066659</v>
      </c>
      <c r="I158" s="2" t="s">
        <v>15</v>
      </c>
      <c r="J158" s="34"/>
      <c r="K158" s="34"/>
      <c r="L158" s="48"/>
    </row>
    <row r="159" spans="2:12" x14ac:dyDescent="0.35">
      <c r="B159" s="47" t="s">
        <v>185</v>
      </c>
      <c r="C159" s="2" t="s">
        <v>312</v>
      </c>
      <c r="D159" s="2" t="s">
        <v>326</v>
      </c>
      <c r="E159" s="2" t="s">
        <v>328</v>
      </c>
      <c r="F159" s="2" t="s">
        <v>332</v>
      </c>
      <c r="G159" s="34">
        <v>4.6899999999999977</v>
      </c>
      <c r="H159" s="34">
        <v>6.5680000000000005</v>
      </c>
      <c r="I159" s="2" t="s">
        <v>87</v>
      </c>
      <c r="J159" s="34"/>
      <c r="K159" s="34"/>
      <c r="L159" s="48"/>
    </row>
    <row r="160" spans="2:12" x14ac:dyDescent="0.35">
      <c r="B160" s="47" t="s">
        <v>185</v>
      </c>
      <c r="C160" s="2" t="s">
        <v>312</v>
      </c>
      <c r="D160" s="2" t="s">
        <v>326</v>
      </c>
      <c r="E160" s="2" t="s">
        <v>328</v>
      </c>
      <c r="F160" s="2" t="s">
        <v>333</v>
      </c>
      <c r="G160" s="34">
        <v>2.3918483335486691</v>
      </c>
      <c r="H160" s="34">
        <v>3.9879470106666668</v>
      </c>
      <c r="I160" s="2" t="s">
        <v>13</v>
      </c>
      <c r="J160" s="34">
        <v>2.3918483335486691</v>
      </c>
      <c r="K160" s="34">
        <v>3.9879470106666668</v>
      </c>
      <c r="L160" s="56" t="s">
        <v>6</v>
      </c>
    </row>
    <row r="161" spans="2:12" x14ac:dyDescent="0.35">
      <c r="B161" s="47" t="s">
        <v>185</v>
      </c>
      <c r="C161" s="2" t="s">
        <v>312</v>
      </c>
      <c r="D161" s="2" t="s">
        <v>326</v>
      </c>
      <c r="G161" s="34">
        <v>4.4964666666666666</v>
      </c>
      <c r="H161" s="34">
        <v>6.3930166666666661</v>
      </c>
      <c r="I161" s="2" t="s">
        <v>10</v>
      </c>
      <c r="J161" s="34">
        <v>4.4964666666666666</v>
      </c>
      <c r="K161" s="34">
        <v>6.3930166666666661</v>
      </c>
      <c r="L161" s="49" t="s">
        <v>8</v>
      </c>
    </row>
    <row r="162" spans="2:12" x14ac:dyDescent="0.35">
      <c r="B162" s="47" t="s">
        <v>185</v>
      </c>
      <c r="C162" s="2" t="s">
        <v>312</v>
      </c>
      <c r="D162" s="2" t="s">
        <v>326</v>
      </c>
      <c r="E162" s="2" t="s">
        <v>352</v>
      </c>
      <c r="F162" s="2" t="s">
        <v>353</v>
      </c>
      <c r="G162" s="34">
        <v>1.2092261113264478</v>
      </c>
      <c r="H162" s="34">
        <v>7.1529025662222221</v>
      </c>
      <c r="I162" s="2" t="s">
        <v>13</v>
      </c>
      <c r="J162" s="34">
        <v>1.2092261113264478</v>
      </c>
      <c r="K162" s="34">
        <v>7.1529025662222221</v>
      </c>
      <c r="L162" s="49" t="s">
        <v>8</v>
      </c>
    </row>
    <row r="163" spans="2:12" ht="14.6" thickBot="1" x14ac:dyDescent="0.4">
      <c r="B163" s="50" t="s">
        <v>185</v>
      </c>
      <c r="C163" s="51" t="s">
        <v>312</v>
      </c>
      <c r="D163" s="51" t="s">
        <v>326</v>
      </c>
      <c r="E163" s="51" t="s">
        <v>334</v>
      </c>
      <c r="F163" s="51" t="s">
        <v>335</v>
      </c>
      <c r="G163" s="52">
        <v>2.6666970508120045</v>
      </c>
      <c r="H163" s="52">
        <v>7.1212948372000007</v>
      </c>
      <c r="I163" s="51" t="s">
        <v>182</v>
      </c>
      <c r="J163" s="52">
        <v>2.6666970508120045</v>
      </c>
      <c r="K163" s="52">
        <v>7.1212948372000007</v>
      </c>
      <c r="L163" s="68" t="s">
        <v>8</v>
      </c>
    </row>
    <row r="164" spans="2:12" x14ac:dyDescent="0.35">
      <c r="D164" s="2" t="s">
        <v>325</v>
      </c>
      <c r="E164" s="2" t="s">
        <v>546</v>
      </c>
      <c r="G164" s="34">
        <f>AVERAGE($G$140:$G$163)</f>
        <v>4.3811730925261658</v>
      </c>
      <c r="H164" s="34">
        <f>AVERAGE($H$140:$H$163)</f>
        <v>5.6954082315908012</v>
      </c>
      <c r="L164" s="73" t="s">
        <v>8</v>
      </c>
    </row>
    <row r="165" spans="2:12" x14ac:dyDescent="0.35">
      <c r="D165" s="2" t="s">
        <v>325</v>
      </c>
      <c r="E165" s="2" t="s">
        <v>547</v>
      </c>
      <c r="G165" s="34">
        <f>AVERAGE($G$140:$G$163)</f>
        <v>4.3811730925261658</v>
      </c>
      <c r="H165" s="34">
        <f>AVERAGE($H$140:$H$163)</f>
        <v>5.6954082315908012</v>
      </c>
      <c r="L165" s="73" t="s">
        <v>8</v>
      </c>
    </row>
    <row r="166" spans="2:12" x14ac:dyDescent="0.35">
      <c r="D166" s="2" t="s">
        <v>324</v>
      </c>
      <c r="E166" s="2" t="s">
        <v>548</v>
      </c>
      <c r="G166" s="34">
        <f>AVERAGE($G$140:$G$163)</f>
        <v>4.3811730925261658</v>
      </c>
      <c r="H166" s="34">
        <f>AVERAGE($H$140:$H$163)</f>
        <v>5.6954082315908012</v>
      </c>
      <c r="L166" s="73" t="s">
        <v>8</v>
      </c>
    </row>
    <row r="167" spans="2:12" ht="14.6" thickBot="1" x14ac:dyDescent="0.4"/>
    <row r="168" spans="2:12" ht="14.6" thickBot="1" x14ac:dyDescent="0.4">
      <c r="B168" s="74" t="s">
        <v>185</v>
      </c>
      <c r="C168" s="75" t="s">
        <v>373</v>
      </c>
      <c r="D168" s="75" t="s">
        <v>374</v>
      </c>
      <c r="E168" s="75" t="s">
        <v>375</v>
      </c>
      <c r="F168" s="75" t="s">
        <v>376</v>
      </c>
      <c r="G168" s="76">
        <v>4.0499999999999972</v>
      </c>
      <c r="H168" s="76">
        <v>3.2</v>
      </c>
      <c r="I168" s="75" t="s">
        <v>22</v>
      </c>
      <c r="J168" s="76">
        <v>4.0499999999999972</v>
      </c>
      <c r="K168" s="76">
        <v>3.2</v>
      </c>
      <c r="L168" s="77" t="s">
        <v>6</v>
      </c>
    </row>
    <row r="169" spans="2:12" x14ac:dyDescent="0.35">
      <c r="D169" s="2" t="s">
        <v>372</v>
      </c>
      <c r="E169" s="15" t="s">
        <v>549</v>
      </c>
      <c r="G169" s="34">
        <v>4.0499999999999972</v>
      </c>
      <c r="H169" s="34">
        <v>3.2</v>
      </c>
      <c r="L169" s="55" t="s">
        <v>6</v>
      </c>
    </row>
    <row r="170" spans="2:12" ht="14.6" thickBot="1" x14ac:dyDescent="0.4">
      <c r="E170" s="15"/>
      <c r="G170" s="34"/>
      <c r="H170" s="34"/>
    </row>
    <row r="171" spans="2:12" s="4" customFormat="1" x14ac:dyDescent="0.35">
      <c r="B171" s="20" t="s">
        <v>185</v>
      </c>
      <c r="C171" s="21" t="s">
        <v>370</v>
      </c>
      <c r="D171" s="21" t="s">
        <v>383</v>
      </c>
      <c r="E171" s="21" t="s">
        <v>394</v>
      </c>
      <c r="F171" s="21" t="s">
        <v>395</v>
      </c>
      <c r="G171" s="22">
        <v>3.205911829999998</v>
      </c>
      <c r="H171" s="22">
        <v>5.1137666666666668</v>
      </c>
      <c r="I171" s="21" t="s">
        <v>146</v>
      </c>
      <c r="J171" s="22">
        <v>3.205911829999998</v>
      </c>
      <c r="K171" s="22">
        <v>5.1137666666666668</v>
      </c>
      <c r="L171" s="23" t="s">
        <v>8</v>
      </c>
    </row>
    <row r="172" spans="2:12" s="4" customFormat="1" x14ac:dyDescent="0.35">
      <c r="B172" s="24" t="s">
        <v>185</v>
      </c>
      <c r="C172" s="4" t="s">
        <v>370</v>
      </c>
      <c r="D172" s="4" t="s">
        <v>383</v>
      </c>
      <c r="E172" s="4" t="s">
        <v>384</v>
      </c>
      <c r="F172" s="4" t="s">
        <v>385</v>
      </c>
      <c r="G172" s="25">
        <v>7.3341683817619678</v>
      </c>
      <c r="H172" s="25">
        <v>2.5099528296466662</v>
      </c>
      <c r="I172" s="4" t="s">
        <v>126</v>
      </c>
      <c r="J172" s="25">
        <v>5.1867842531184225</v>
      </c>
      <c r="K172" s="25">
        <v>1.1676764148233332</v>
      </c>
      <c r="L172" s="26" t="s">
        <v>19</v>
      </c>
    </row>
    <row r="173" spans="2:12" s="4" customFormat="1" x14ac:dyDescent="0.35">
      <c r="B173" s="24" t="s">
        <v>185</v>
      </c>
      <c r="C173" s="4" t="s">
        <v>370</v>
      </c>
      <c r="D173" s="4" t="s">
        <v>383</v>
      </c>
      <c r="E173" s="4" t="s">
        <v>384</v>
      </c>
      <c r="F173" s="4" t="s">
        <v>385</v>
      </c>
      <c r="G173" s="25">
        <v>3.0394001244748772</v>
      </c>
      <c r="H173" s="25">
        <v>-0.17460000000000001</v>
      </c>
      <c r="I173" s="4" t="s">
        <v>16</v>
      </c>
      <c r="J173" s="25"/>
      <c r="K173" s="25"/>
      <c r="L173" s="27"/>
    </row>
    <row r="174" spans="2:12" s="4" customFormat="1" x14ac:dyDescent="0.35">
      <c r="B174" s="24" t="s">
        <v>185</v>
      </c>
      <c r="C174" s="4" t="s">
        <v>370</v>
      </c>
      <c r="D174" s="4" t="s">
        <v>383</v>
      </c>
      <c r="E174" s="4" t="s">
        <v>384</v>
      </c>
      <c r="F174" s="4" t="s">
        <v>386</v>
      </c>
      <c r="G174" s="25">
        <v>4.9313816949152329</v>
      </c>
      <c r="H174" s="25">
        <v>3.4659623170685712</v>
      </c>
      <c r="I174" s="4" t="s">
        <v>12</v>
      </c>
      <c r="J174" s="25">
        <v>4.9313816949152329</v>
      </c>
      <c r="K174" s="25">
        <v>3.4659623170685712</v>
      </c>
      <c r="L174" s="29" t="s">
        <v>6</v>
      </c>
    </row>
    <row r="175" spans="2:12" s="4" customFormat="1" x14ac:dyDescent="0.35">
      <c r="B175" s="24" t="s">
        <v>185</v>
      </c>
      <c r="C175" s="4" t="s">
        <v>370</v>
      </c>
      <c r="D175" s="4" t="s">
        <v>383</v>
      </c>
      <c r="E175" s="4" t="s">
        <v>384</v>
      </c>
      <c r="F175" s="4" t="s">
        <v>387</v>
      </c>
      <c r="G175" s="25">
        <v>4.7858349550000021</v>
      </c>
      <c r="H175" s="25">
        <v>3.7431868420000001</v>
      </c>
      <c r="I175" s="4" t="s">
        <v>30</v>
      </c>
      <c r="J175" s="25">
        <v>4.7858349550000021</v>
      </c>
      <c r="K175" s="25">
        <v>3.7431868420000001</v>
      </c>
      <c r="L175" s="29" t="s">
        <v>6</v>
      </c>
    </row>
    <row r="176" spans="2:12" s="4" customFormat="1" x14ac:dyDescent="0.35">
      <c r="B176" s="24" t="s">
        <v>185</v>
      </c>
      <c r="C176" s="4" t="s">
        <v>370</v>
      </c>
      <c r="D176" s="4" t="s">
        <v>383</v>
      </c>
      <c r="E176" s="4" t="s">
        <v>384</v>
      </c>
      <c r="F176" s="4" t="s">
        <v>388</v>
      </c>
      <c r="G176" s="25">
        <v>4.6190496082953336</v>
      </c>
      <c r="H176" s="25">
        <v>1.5461980505066659</v>
      </c>
      <c r="I176" s="4" t="s">
        <v>15</v>
      </c>
      <c r="J176" s="25">
        <v>4.6190496082953336</v>
      </c>
      <c r="K176" s="25">
        <v>1.5461980505066659</v>
      </c>
      <c r="L176" s="26" t="s">
        <v>19</v>
      </c>
    </row>
    <row r="177" spans="2:12" s="4" customFormat="1" x14ac:dyDescent="0.35">
      <c r="B177" s="24" t="s">
        <v>185</v>
      </c>
      <c r="C177" s="4" t="s">
        <v>370</v>
      </c>
      <c r="D177" s="4" t="s">
        <v>383</v>
      </c>
      <c r="E177" s="4" t="s">
        <v>384</v>
      </c>
      <c r="F177" s="4" t="s">
        <v>389</v>
      </c>
      <c r="G177" s="25">
        <v>4.8617343555739687</v>
      </c>
      <c r="H177" s="25">
        <v>1.4710000000000001</v>
      </c>
      <c r="I177" s="4" t="s">
        <v>120</v>
      </c>
      <c r="J177" s="25">
        <v>3.8586832682096848</v>
      </c>
      <c r="K177" s="25">
        <v>3.2803065552600001</v>
      </c>
      <c r="L177" s="29" t="s">
        <v>6</v>
      </c>
    </row>
    <row r="178" spans="2:12" s="4" customFormat="1" x14ac:dyDescent="0.35">
      <c r="B178" s="24" t="s">
        <v>185</v>
      </c>
      <c r="C178" s="4" t="s">
        <v>370</v>
      </c>
      <c r="D178" s="4" t="s">
        <v>383</v>
      </c>
      <c r="E178" s="4" t="s">
        <v>384</v>
      </c>
      <c r="F178" s="4" t="s">
        <v>389</v>
      </c>
      <c r="G178" s="25">
        <v>5.803049608295332</v>
      </c>
      <c r="H178" s="25">
        <v>1.8351980505066663</v>
      </c>
      <c r="I178" s="4" t="s">
        <v>66</v>
      </c>
      <c r="J178" s="25"/>
      <c r="K178" s="25"/>
      <c r="L178" s="27"/>
    </row>
    <row r="179" spans="2:12" s="4" customFormat="1" x14ac:dyDescent="0.35">
      <c r="B179" s="24" t="s">
        <v>185</v>
      </c>
      <c r="C179" s="4" t="s">
        <v>370</v>
      </c>
      <c r="D179" s="4" t="s">
        <v>383</v>
      </c>
      <c r="E179" s="4" t="s">
        <v>384</v>
      </c>
      <c r="F179" s="4" t="s">
        <v>389</v>
      </c>
      <c r="G179" s="25">
        <v>3.0666970508120031</v>
      </c>
      <c r="H179" s="25">
        <v>5.3512948372000011</v>
      </c>
      <c r="I179" s="4" t="s">
        <v>182</v>
      </c>
      <c r="J179" s="25"/>
      <c r="K179" s="25"/>
      <c r="L179" s="27"/>
    </row>
    <row r="180" spans="2:12" s="4" customFormat="1" x14ac:dyDescent="0.35">
      <c r="B180" s="24" t="s">
        <v>185</v>
      </c>
      <c r="C180" s="4" t="s">
        <v>370</v>
      </c>
      <c r="D180" s="4" t="s">
        <v>383</v>
      </c>
      <c r="E180" s="4" t="s">
        <v>384</v>
      </c>
      <c r="F180" s="4" t="s">
        <v>389</v>
      </c>
      <c r="G180" s="25">
        <v>1.7032520581574353</v>
      </c>
      <c r="H180" s="25">
        <v>4.4637333333333329</v>
      </c>
      <c r="I180" s="4" t="s">
        <v>16</v>
      </c>
      <c r="J180" s="25"/>
      <c r="K180" s="25"/>
      <c r="L180" s="27"/>
    </row>
    <row r="181" spans="2:12" s="4" customFormat="1" x14ac:dyDescent="0.35">
      <c r="B181" s="24" t="s">
        <v>185</v>
      </c>
      <c r="C181" s="4" t="s">
        <v>370</v>
      </c>
      <c r="D181" s="4" t="s">
        <v>383</v>
      </c>
      <c r="E181" s="4" t="s">
        <v>384</v>
      </c>
      <c r="F181" s="4" t="s">
        <v>390</v>
      </c>
      <c r="G181" s="25">
        <v>5.2149999999999999</v>
      </c>
      <c r="H181" s="25">
        <v>3.1275000000000004</v>
      </c>
      <c r="I181" s="4" t="s">
        <v>87</v>
      </c>
      <c r="J181" s="25">
        <v>4.7425499999999996</v>
      </c>
      <c r="K181" s="25">
        <v>6.9843000000000011</v>
      </c>
      <c r="L181" s="28" t="s">
        <v>8</v>
      </c>
    </row>
    <row r="182" spans="2:12" s="4" customFormat="1" x14ac:dyDescent="0.35">
      <c r="B182" s="24" t="s">
        <v>185</v>
      </c>
      <c r="C182" s="4" t="s">
        <v>370</v>
      </c>
      <c r="D182" s="4" t="s">
        <v>383</v>
      </c>
      <c r="E182" s="4" t="s">
        <v>384</v>
      </c>
      <c r="F182" s="4" t="s">
        <v>390</v>
      </c>
      <c r="G182" s="25">
        <v>4.2700999999999993</v>
      </c>
      <c r="H182" s="25">
        <v>10.841100000000001</v>
      </c>
      <c r="I182" s="4" t="s">
        <v>88</v>
      </c>
      <c r="J182" s="25"/>
      <c r="K182" s="25"/>
      <c r="L182" s="27"/>
    </row>
    <row r="183" spans="2:12" s="4" customFormat="1" ht="16.75" x14ac:dyDescent="0.5">
      <c r="B183" s="24" t="s">
        <v>185</v>
      </c>
      <c r="C183" s="4" t="s">
        <v>370</v>
      </c>
      <c r="D183" s="4" t="s">
        <v>383</v>
      </c>
      <c r="E183" s="4" t="s">
        <v>384</v>
      </c>
      <c r="F183" s="4" t="s">
        <v>391</v>
      </c>
      <c r="G183" s="25">
        <v>7.6622331282152967</v>
      </c>
      <c r="H183" s="25">
        <v>3.8095148083999995</v>
      </c>
      <c r="I183" s="4" t="s">
        <v>126</v>
      </c>
      <c r="J183" s="25">
        <v>7.6622331282152967</v>
      </c>
      <c r="K183" s="25">
        <v>3.8095148083999995</v>
      </c>
      <c r="L183" s="36" t="s">
        <v>604</v>
      </c>
    </row>
    <row r="184" spans="2:12" s="4" customFormat="1" x14ac:dyDescent="0.35">
      <c r="B184" s="24" t="s">
        <v>185</v>
      </c>
      <c r="C184" s="4" t="s">
        <v>370</v>
      </c>
      <c r="D184" s="4" t="s">
        <v>383</v>
      </c>
      <c r="E184" s="4" t="s">
        <v>384</v>
      </c>
      <c r="F184" s="4" t="s">
        <v>392</v>
      </c>
      <c r="G184" s="25">
        <v>2.586963990000001</v>
      </c>
      <c r="H184" s="25">
        <v>0.83437197350000014</v>
      </c>
      <c r="I184" s="4" t="s">
        <v>30</v>
      </c>
      <c r="J184" s="25">
        <v>2.7632697014285714</v>
      </c>
      <c r="K184" s="25">
        <v>1.8438023053928576</v>
      </c>
      <c r="L184" s="29" t="s">
        <v>6</v>
      </c>
    </row>
    <row r="185" spans="2:12" s="4" customFormat="1" x14ac:dyDescent="0.35">
      <c r="B185" s="24" t="s">
        <v>185</v>
      </c>
      <c r="C185" s="4" t="s">
        <v>370</v>
      </c>
      <c r="D185" s="4" t="s">
        <v>383</v>
      </c>
      <c r="E185" s="4" t="s">
        <v>384</v>
      </c>
      <c r="F185" s="4" t="s">
        <v>392</v>
      </c>
      <c r="G185" s="25">
        <v>2.9395754128571419</v>
      </c>
      <c r="H185" s="25">
        <v>2.8532326372857151</v>
      </c>
      <c r="I185" s="4" t="s">
        <v>146</v>
      </c>
      <c r="J185" s="25"/>
      <c r="K185" s="25"/>
      <c r="L185" s="27"/>
    </row>
    <row r="186" spans="2:12" s="4" customFormat="1" ht="14.6" thickBot="1" x14ac:dyDescent="0.4">
      <c r="B186" s="30" t="s">
        <v>185</v>
      </c>
      <c r="C186" s="31" t="s">
        <v>370</v>
      </c>
      <c r="D186" s="31" t="s">
        <v>383</v>
      </c>
      <c r="E186" s="31" t="s">
        <v>384</v>
      </c>
      <c r="F186" s="31" t="s">
        <v>393</v>
      </c>
      <c r="G186" s="32">
        <v>6.0030496082953313</v>
      </c>
      <c r="H186" s="32">
        <v>4.6451980505066661</v>
      </c>
      <c r="I186" s="31" t="s">
        <v>66</v>
      </c>
      <c r="J186" s="32">
        <v>6.0030496082953313</v>
      </c>
      <c r="K186" s="32">
        <v>4.6451980505066661</v>
      </c>
      <c r="L186" s="78" t="s">
        <v>6</v>
      </c>
    </row>
    <row r="187" spans="2:12" x14ac:dyDescent="0.35">
      <c r="E187" s="2" t="s">
        <v>550</v>
      </c>
      <c r="G187" s="34">
        <f>AVERAGE(G171:G186)</f>
        <v>4.5017126129158704</v>
      </c>
      <c r="H187" s="34">
        <f>AVERAGE(H171:H186)</f>
        <v>3.4647881497888093</v>
      </c>
      <c r="L187" s="12" t="s">
        <v>6</v>
      </c>
    </row>
    <row r="188" spans="2:12" ht="14.6" thickBot="1" x14ac:dyDescent="0.4"/>
    <row r="189" spans="2:12" x14ac:dyDescent="0.35">
      <c r="B189" s="43" t="s">
        <v>185</v>
      </c>
      <c r="C189" s="44" t="s">
        <v>370</v>
      </c>
      <c r="D189" s="44" t="s">
        <v>397</v>
      </c>
      <c r="E189" s="44" t="s">
        <v>398</v>
      </c>
      <c r="F189" s="44" t="s">
        <v>399</v>
      </c>
      <c r="G189" s="45">
        <v>3.25</v>
      </c>
      <c r="H189" s="45">
        <v>3.9</v>
      </c>
      <c r="I189" s="44" t="s">
        <v>22</v>
      </c>
      <c r="J189" s="45">
        <v>3.25</v>
      </c>
      <c r="K189" s="45">
        <v>3.9</v>
      </c>
      <c r="L189" s="58" t="s">
        <v>6</v>
      </c>
    </row>
    <row r="190" spans="2:12" ht="14.6" thickBot="1" x14ac:dyDescent="0.4">
      <c r="B190" s="50" t="s">
        <v>185</v>
      </c>
      <c r="C190" s="51" t="s">
        <v>370</v>
      </c>
      <c r="D190" s="51" t="s">
        <v>397</v>
      </c>
      <c r="E190" s="51" t="s">
        <v>398</v>
      </c>
      <c r="F190" s="51" t="s">
        <v>400</v>
      </c>
      <c r="G190" s="52">
        <v>2.8499999999999979</v>
      </c>
      <c r="H190" s="52">
        <v>-0.7</v>
      </c>
      <c r="I190" s="51" t="s">
        <v>22</v>
      </c>
      <c r="J190" s="52">
        <v>2.8499999999999979</v>
      </c>
      <c r="K190" s="52">
        <v>-0.7</v>
      </c>
      <c r="L190" s="60" t="s">
        <v>19</v>
      </c>
    </row>
    <row r="191" spans="2:12" x14ac:dyDescent="0.35">
      <c r="D191" s="2" t="s">
        <v>396</v>
      </c>
      <c r="E191" s="2" t="s">
        <v>551</v>
      </c>
      <c r="G191" s="34">
        <f>AVERAGE(G189:G190)</f>
        <v>3.0499999999999989</v>
      </c>
      <c r="H191" s="34">
        <f>AVERAGE(H189:H190)</f>
        <v>1.6</v>
      </c>
      <c r="L191" s="61" t="s">
        <v>19</v>
      </c>
    </row>
    <row r="192" spans="2:12" ht="14.6" thickBot="1" x14ac:dyDescent="0.4"/>
    <row r="193" spans="2:12" x14ac:dyDescent="0.35">
      <c r="B193" s="43" t="s">
        <v>185</v>
      </c>
      <c r="C193" s="44" t="s">
        <v>370</v>
      </c>
      <c r="D193" s="44" t="s">
        <v>403</v>
      </c>
      <c r="E193" s="44" t="s">
        <v>406</v>
      </c>
      <c r="F193" s="44" t="s">
        <v>407</v>
      </c>
      <c r="G193" s="45">
        <v>2.6778092099999995</v>
      </c>
      <c r="H193" s="45">
        <v>3.1692833330000001</v>
      </c>
      <c r="I193" s="44" t="s">
        <v>30</v>
      </c>
      <c r="J193" s="45">
        <v>2.6778092099999995</v>
      </c>
      <c r="K193" s="45">
        <v>3.1692833330000001</v>
      </c>
      <c r="L193" s="58" t="s">
        <v>6</v>
      </c>
    </row>
    <row r="194" spans="2:12" x14ac:dyDescent="0.35">
      <c r="B194" s="47" t="s">
        <v>185</v>
      </c>
      <c r="C194" s="2" t="s">
        <v>370</v>
      </c>
      <c r="D194" s="2" t="s">
        <v>403</v>
      </c>
      <c r="E194" s="2" t="s">
        <v>408</v>
      </c>
      <c r="F194" s="2" t="s">
        <v>409</v>
      </c>
      <c r="G194" s="34">
        <v>4.4843935299999984</v>
      </c>
      <c r="H194" s="34">
        <v>3.1476868419999997</v>
      </c>
      <c r="I194" s="2" t="s">
        <v>30</v>
      </c>
      <c r="J194" s="34">
        <v>4.4843935299999984</v>
      </c>
      <c r="K194" s="34">
        <v>3.1476868419999997</v>
      </c>
      <c r="L194" s="56" t="s">
        <v>6</v>
      </c>
    </row>
    <row r="195" spans="2:12" x14ac:dyDescent="0.35">
      <c r="B195" s="47" t="s">
        <v>185</v>
      </c>
      <c r="C195" s="2" t="s">
        <v>370</v>
      </c>
      <c r="D195" s="2" t="s">
        <v>403</v>
      </c>
      <c r="E195" s="2" t="s">
        <v>410</v>
      </c>
      <c r="F195" s="2" t="s">
        <v>411</v>
      </c>
      <c r="G195" s="34">
        <v>3.6791954744444446</v>
      </c>
      <c r="H195" s="34">
        <v>1.7204402288888887</v>
      </c>
      <c r="I195" s="2" t="s">
        <v>30</v>
      </c>
      <c r="J195" s="34">
        <v>3.6791954744444446</v>
      </c>
      <c r="K195" s="34">
        <v>1.7204402288888887</v>
      </c>
      <c r="L195" s="56" t="s">
        <v>6</v>
      </c>
    </row>
    <row r="196" spans="2:12" x14ac:dyDescent="0.35">
      <c r="B196" s="47" t="s">
        <v>185</v>
      </c>
      <c r="C196" s="2" t="s">
        <v>370</v>
      </c>
      <c r="D196" s="2" t="s">
        <v>403</v>
      </c>
      <c r="E196" s="2" t="s">
        <v>404</v>
      </c>
      <c r="F196" s="2" t="s">
        <v>405</v>
      </c>
      <c r="G196" s="34">
        <v>3.2010811200000013</v>
      </c>
      <c r="H196" s="34">
        <v>2.3215499999999998</v>
      </c>
      <c r="I196" s="2" t="s">
        <v>30</v>
      </c>
      <c r="J196" s="34">
        <v>3.0273244442857141</v>
      </c>
      <c r="K196" s="34">
        <v>3.1377678572857146</v>
      </c>
      <c r="L196" s="56" t="s">
        <v>6</v>
      </c>
    </row>
    <row r="197" spans="2:12" x14ac:dyDescent="0.35">
      <c r="B197" s="47" t="s">
        <v>185</v>
      </c>
      <c r="C197" s="2" t="s">
        <v>370</v>
      </c>
      <c r="D197" s="2" t="s">
        <v>403</v>
      </c>
      <c r="E197" s="2" t="s">
        <v>404</v>
      </c>
      <c r="F197" s="2" t="s">
        <v>405</v>
      </c>
      <c r="G197" s="34">
        <v>2.8535677685714269</v>
      </c>
      <c r="H197" s="34">
        <v>3.9539857145714294</v>
      </c>
      <c r="I197" s="2" t="s">
        <v>146</v>
      </c>
      <c r="J197" s="34"/>
      <c r="K197" s="34"/>
      <c r="L197" s="48"/>
    </row>
    <row r="198" spans="2:12" x14ac:dyDescent="0.35">
      <c r="B198" s="47" t="s">
        <v>185</v>
      </c>
      <c r="C198" s="2" t="s">
        <v>370</v>
      </c>
      <c r="D198" s="2" t="s">
        <v>403</v>
      </c>
      <c r="E198" s="2" t="s">
        <v>412</v>
      </c>
      <c r="F198" s="2" t="s">
        <v>413</v>
      </c>
      <c r="G198" s="34">
        <v>4.6810380962499991</v>
      </c>
      <c r="H198" s="34">
        <v>3.1926930841249996</v>
      </c>
      <c r="I198" s="2" t="s">
        <v>30</v>
      </c>
      <c r="J198" s="34">
        <v>3.9252528952678567</v>
      </c>
      <c r="K198" s="34">
        <v>3.4040727227053571</v>
      </c>
      <c r="L198" s="56" t="s">
        <v>6</v>
      </c>
    </row>
    <row r="199" spans="2:12" ht="14.6" thickBot="1" x14ac:dyDescent="0.4">
      <c r="B199" s="50" t="s">
        <v>185</v>
      </c>
      <c r="C199" s="51" t="s">
        <v>370</v>
      </c>
      <c r="D199" s="51" t="s">
        <v>403</v>
      </c>
      <c r="E199" s="51" t="s">
        <v>412</v>
      </c>
      <c r="F199" s="51" t="s">
        <v>413</v>
      </c>
      <c r="G199" s="52">
        <v>3.1694676942857143</v>
      </c>
      <c r="H199" s="52">
        <v>3.6154523612857141</v>
      </c>
      <c r="I199" s="51" t="s">
        <v>146</v>
      </c>
      <c r="J199" s="52"/>
      <c r="K199" s="52"/>
      <c r="L199" s="57"/>
    </row>
    <row r="200" spans="2:12" x14ac:dyDescent="0.35">
      <c r="D200" s="2" t="s">
        <v>402</v>
      </c>
      <c r="E200" s="2" t="s">
        <v>552</v>
      </c>
      <c r="G200" s="34">
        <f>AVERAGE($G$193:$G$199)</f>
        <v>3.5352218419359405</v>
      </c>
      <c r="H200" s="34">
        <f>AVERAGE($H$193:$H$199)</f>
        <v>3.0172987948387191</v>
      </c>
      <c r="L200" s="55" t="s">
        <v>6</v>
      </c>
    </row>
    <row r="201" spans="2:12" x14ac:dyDescent="0.35">
      <c r="D201" s="2" t="s">
        <v>401</v>
      </c>
      <c r="E201" s="2" t="s">
        <v>553</v>
      </c>
      <c r="G201" s="34">
        <f>AVERAGE($G$193:$G$199)</f>
        <v>3.5352218419359405</v>
      </c>
      <c r="H201" s="34">
        <f>AVERAGE($H$193:$H$199)</f>
        <v>3.0172987948387191</v>
      </c>
      <c r="L201" s="55" t="s">
        <v>6</v>
      </c>
    </row>
    <row r="202" spans="2:12" x14ac:dyDescent="0.35">
      <c r="D202" s="2" t="s">
        <v>401</v>
      </c>
      <c r="E202" s="2" t="s">
        <v>554</v>
      </c>
      <c r="G202" s="34">
        <f>AVERAGE($G$193:$G$199)</f>
        <v>3.5352218419359405</v>
      </c>
      <c r="H202" s="34">
        <f>AVERAGE($H$193:$H$199)</f>
        <v>3.0172987948387191</v>
      </c>
      <c r="L202" s="55" t="s">
        <v>6</v>
      </c>
    </row>
    <row r="203" spans="2:12" x14ac:dyDescent="0.35">
      <c r="D203" s="2" t="s">
        <v>401</v>
      </c>
      <c r="E203" s="2" t="s">
        <v>555</v>
      </c>
      <c r="G203" s="34">
        <f>AVERAGE($G$193:$G$199)</f>
        <v>3.5352218419359405</v>
      </c>
      <c r="H203" s="34">
        <f>AVERAGE($H$193:$H$199)</f>
        <v>3.0172987948387191</v>
      </c>
      <c r="L203" s="55" t="s">
        <v>6</v>
      </c>
    </row>
    <row r="204" spans="2:12" ht="14.6" thickBot="1" x14ac:dyDescent="0.4">
      <c r="L204" s="55" t="s">
        <v>6</v>
      </c>
    </row>
    <row r="205" spans="2:12" x14ac:dyDescent="0.35">
      <c r="B205" s="43" t="s">
        <v>185</v>
      </c>
      <c r="C205" s="44" t="s">
        <v>370</v>
      </c>
      <c r="D205" s="44" t="s">
        <v>414</v>
      </c>
      <c r="E205" s="44" t="s">
        <v>417</v>
      </c>
      <c r="F205" s="44" t="s">
        <v>418</v>
      </c>
      <c r="G205" s="45">
        <v>5.3330496082953331</v>
      </c>
      <c r="H205" s="45">
        <v>1.705198050506666</v>
      </c>
      <c r="I205" s="44" t="s">
        <v>66</v>
      </c>
      <c r="J205" s="45">
        <f>AVERAGE(G205,G206)</f>
        <v>3.428316792806628</v>
      </c>
      <c r="K205" s="45">
        <f>AVERAGE(H205,H206)</f>
        <v>2.6077656919199996</v>
      </c>
      <c r="L205" s="58" t="s">
        <v>6</v>
      </c>
    </row>
    <row r="206" spans="2:12" x14ac:dyDescent="0.35">
      <c r="B206" s="47" t="s">
        <v>185</v>
      </c>
      <c r="C206" s="2" t="s">
        <v>370</v>
      </c>
      <c r="D206" s="2" t="s">
        <v>414</v>
      </c>
      <c r="E206" s="2" t="s">
        <v>417</v>
      </c>
      <c r="F206" s="2" t="s">
        <v>418</v>
      </c>
      <c r="G206" s="34">
        <v>1.5235839773179229</v>
      </c>
      <c r="H206" s="34">
        <v>3.5103333333333331</v>
      </c>
      <c r="I206" s="2" t="s">
        <v>16</v>
      </c>
      <c r="J206" s="34"/>
      <c r="K206" s="34"/>
      <c r="L206" s="48"/>
    </row>
    <row r="207" spans="2:12" x14ac:dyDescent="0.35">
      <c r="B207" s="47" t="s">
        <v>185</v>
      </c>
      <c r="C207" s="2" t="s">
        <v>370</v>
      </c>
      <c r="D207" s="2" t="s">
        <v>414</v>
      </c>
      <c r="E207" s="2" t="s">
        <v>417</v>
      </c>
      <c r="F207" s="2" t="s">
        <v>419</v>
      </c>
      <c r="G207" s="34">
        <v>4.6711857566666666</v>
      </c>
      <c r="H207" s="34">
        <v>2.6645445693333332</v>
      </c>
      <c r="I207" s="2" t="s">
        <v>30</v>
      </c>
      <c r="J207" s="34">
        <v>4.6711857566666666</v>
      </c>
      <c r="K207" s="34">
        <v>2.6645445693333332</v>
      </c>
      <c r="L207" s="56" t="s">
        <v>6</v>
      </c>
    </row>
    <row r="208" spans="2:12" ht="14.6" thickBot="1" x14ac:dyDescent="0.4">
      <c r="B208" s="50" t="s">
        <v>185</v>
      </c>
      <c r="C208" s="51" t="s">
        <v>370</v>
      </c>
      <c r="D208" s="51" t="s">
        <v>414</v>
      </c>
      <c r="E208" s="51" t="s">
        <v>417</v>
      </c>
      <c r="F208" s="51" t="s">
        <v>420</v>
      </c>
      <c r="G208" s="52">
        <v>4.4161535500000006</v>
      </c>
      <c r="H208" s="52">
        <v>2.7737833329999999</v>
      </c>
      <c r="I208" s="51" t="s">
        <v>30</v>
      </c>
      <c r="J208" s="52">
        <v>4.4161535500000006</v>
      </c>
      <c r="K208" s="52">
        <v>2.7737833329999999</v>
      </c>
      <c r="L208" s="53" t="s">
        <v>6</v>
      </c>
    </row>
    <row r="209" spans="2:12" x14ac:dyDescent="0.35">
      <c r="D209" s="2" t="s">
        <v>416</v>
      </c>
      <c r="E209" s="2" t="s">
        <v>556</v>
      </c>
      <c r="G209" s="34">
        <f>AVERAGE($G$205:$G$208)</f>
        <v>3.9859932230699808</v>
      </c>
      <c r="H209" s="34">
        <f>AVERAGE($H$205:$H$208)</f>
        <v>2.6634648215433332</v>
      </c>
    </row>
    <row r="210" spans="2:12" x14ac:dyDescent="0.35">
      <c r="D210" s="2" t="s">
        <v>415</v>
      </c>
      <c r="E210" s="2" t="s">
        <v>557</v>
      </c>
      <c r="G210" s="34">
        <f>AVERAGE($G$205:$G$208)</f>
        <v>3.9859932230699808</v>
      </c>
      <c r="H210" s="34">
        <f>AVERAGE($H$205:$H$208)</f>
        <v>2.6634648215433332</v>
      </c>
    </row>
    <row r="211" spans="2:12" x14ac:dyDescent="0.35">
      <c r="D211" s="2" t="s">
        <v>415</v>
      </c>
      <c r="E211" s="2" t="s">
        <v>558</v>
      </c>
      <c r="G211" s="34">
        <f>AVERAGE($G$205:$G$208)</f>
        <v>3.9859932230699808</v>
      </c>
      <c r="H211" s="34">
        <f>AVERAGE($H$205:$H$208)</f>
        <v>2.6634648215433332</v>
      </c>
    </row>
    <row r="212" spans="2:12" ht="14.6" thickBot="1" x14ac:dyDescent="0.4"/>
    <row r="213" spans="2:12" x14ac:dyDescent="0.35">
      <c r="B213" s="43" t="s">
        <v>185</v>
      </c>
      <c r="C213" s="44" t="s">
        <v>373</v>
      </c>
      <c r="D213" s="44" t="s">
        <v>432</v>
      </c>
      <c r="E213" s="44" t="s">
        <v>446</v>
      </c>
      <c r="F213" s="44" t="s">
        <v>447</v>
      </c>
      <c r="G213" s="45">
        <v>4.5092159036028612</v>
      </c>
      <c r="H213" s="45">
        <v>4.2045610149925059</v>
      </c>
      <c r="I213" s="44" t="s">
        <v>96</v>
      </c>
      <c r="J213" s="45">
        <v>5.1419239341021346</v>
      </c>
      <c r="K213" s="45">
        <v>3.667730175403936</v>
      </c>
      <c r="L213" s="58" t="s">
        <v>6</v>
      </c>
    </row>
    <row r="214" spans="2:12" x14ac:dyDescent="0.35">
      <c r="B214" s="47" t="s">
        <v>185</v>
      </c>
      <c r="C214" s="2" t="s">
        <v>373</v>
      </c>
      <c r="D214" s="2" t="s">
        <v>432</v>
      </c>
      <c r="E214" s="2" t="s">
        <v>446</v>
      </c>
      <c r="F214" s="2" t="s">
        <v>447</v>
      </c>
      <c r="G214" s="34">
        <v>5.3507283128770595</v>
      </c>
      <c r="H214" s="34">
        <v>2.335</v>
      </c>
      <c r="I214" s="2" t="s">
        <v>86</v>
      </c>
      <c r="J214" s="34"/>
      <c r="K214" s="34"/>
      <c r="L214" s="48"/>
    </row>
    <row r="215" spans="2:12" x14ac:dyDescent="0.35">
      <c r="B215" s="47" t="s">
        <v>185</v>
      </c>
      <c r="C215" s="2" t="s">
        <v>373</v>
      </c>
      <c r="D215" s="2" t="s">
        <v>432</v>
      </c>
      <c r="E215" s="2" t="s">
        <v>446</v>
      </c>
      <c r="F215" s="2" t="s">
        <v>447</v>
      </c>
      <c r="G215" s="34">
        <v>4.0897497798375575</v>
      </c>
      <c r="H215" s="34">
        <v>3.5290719869244445</v>
      </c>
      <c r="I215" s="2" t="s">
        <v>238</v>
      </c>
      <c r="J215" s="34"/>
      <c r="K215" s="34"/>
      <c r="L215" s="48"/>
    </row>
    <row r="216" spans="2:12" x14ac:dyDescent="0.35">
      <c r="B216" s="47" t="s">
        <v>185</v>
      </c>
      <c r="C216" s="2" t="s">
        <v>373</v>
      </c>
      <c r="D216" s="2" t="s">
        <v>432</v>
      </c>
      <c r="E216" s="2" t="s">
        <v>446</v>
      </c>
      <c r="F216" s="2" t="s">
        <v>447</v>
      </c>
      <c r="G216" s="34">
        <v>6.4260496082953331</v>
      </c>
      <c r="H216" s="34">
        <v>3.6131980505066656</v>
      </c>
      <c r="I216" s="2" t="s">
        <v>15</v>
      </c>
      <c r="J216" s="34"/>
      <c r="K216" s="34"/>
      <c r="L216" s="48"/>
    </row>
    <row r="217" spans="2:12" x14ac:dyDescent="0.35">
      <c r="B217" s="47" t="s">
        <v>185</v>
      </c>
      <c r="C217" s="2" t="s">
        <v>373</v>
      </c>
      <c r="D217" s="2" t="s">
        <v>432</v>
      </c>
      <c r="E217" s="2" t="s">
        <v>446</v>
      </c>
      <c r="F217" s="2" t="s">
        <v>447</v>
      </c>
      <c r="G217" s="34">
        <v>5.8683999999999994</v>
      </c>
      <c r="H217" s="34">
        <v>3.7073500000000004</v>
      </c>
      <c r="I217" s="2" t="s">
        <v>87</v>
      </c>
      <c r="J217" s="34"/>
      <c r="K217" s="34"/>
      <c r="L217" s="48"/>
    </row>
    <row r="218" spans="2:12" x14ac:dyDescent="0.35">
      <c r="B218" s="47" t="s">
        <v>185</v>
      </c>
      <c r="C218" s="2" t="s">
        <v>373</v>
      </c>
      <c r="D218" s="2" t="s">
        <v>432</v>
      </c>
      <c r="E218" s="2" t="s">
        <v>446</v>
      </c>
      <c r="F218" s="2" t="s">
        <v>447</v>
      </c>
      <c r="G218" s="34">
        <v>4.6073999999999984</v>
      </c>
      <c r="H218" s="34">
        <v>4.6172000000000004</v>
      </c>
      <c r="I218" s="2" t="s">
        <v>88</v>
      </c>
      <c r="J218" s="34"/>
      <c r="K218" s="34"/>
      <c r="L218" s="48"/>
    </row>
    <row r="219" spans="2:12" x14ac:dyDescent="0.35">
      <c r="B219" s="47" t="s">
        <v>185</v>
      </c>
      <c r="C219" s="2" t="s">
        <v>373</v>
      </c>
      <c r="D219" s="2" t="s">
        <v>432</v>
      </c>
      <c r="E219" s="2" t="s">
        <v>448</v>
      </c>
      <c r="F219" s="2" t="s">
        <v>449</v>
      </c>
      <c r="G219" s="34">
        <v>3.5393166499999964</v>
      </c>
      <c r="H219" s="34">
        <v>2.0020845026666669</v>
      </c>
      <c r="I219" s="2" t="s">
        <v>30</v>
      </c>
      <c r="J219" s="34">
        <v>3.5393166499999964</v>
      </c>
      <c r="K219" s="34">
        <v>2.0020845026666669</v>
      </c>
      <c r="L219" s="56" t="s">
        <v>6</v>
      </c>
    </row>
    <row r="220" spans="2:12" x14ac:dyDescent="0.35">
      <c r="B220" s="47" t="s">
        <v>185</v>
      </c>
      <c r="C220" s="2" t="s">
        <v>373</v>
      </c>
      <c r="D220" s="2" t="s">
        <v>432</v>
      </c>
      <c r="E220" s="2" t="s">
        <v>434</v>
      </c>
      <c r="F220" s="2" t="s">
        <v>435</v>
      </c>
      <c r="G220" s="34">
        <v>3.5393166499999964</v>
      </c>
      <c r="H220" s="34">
        <v>2.0020845026666669</v>
      </c>
      <c r="I220" s="2" t="s">
        <v>30</v>
      </c>
      <c r="J220" s="34">
        <v>3.5393166499999964</v>
      </c>
      <c r="K220" s="34">
        <v>2.0020845026666669</v>
      </c>
      <c r="L220" s="56" t="s">
        <v>6</v>
      </c>
    </row>
    <row r="221" spans="2:12" x14ac:dyDescent="0.35">
      <c r="B221" s="47" t="s">
        <v>185</v>
      </c>
      <c r="C221" s="2" t="s">
        <v>373</v>
      </c>
      <c r="D221" s="2" t="s">
        <v>432</v>
      </c>
      <c r="E221" s="2" t="s">
        <v>434</v>
      </c>
      <c r="F221" s="2" t="s">
        <v>436</v>
      </c>
      <c r="G221" s="34">
        <v>3.3796604899999991</v>
      </c>
      <c r="H221" s="34">
        <v>5.5164142859999998</v>
      </c>
      <c r="I221" s="2" t="s">
        <v>146</v>
      </c>
      <c r="J221" s="34">
        <v>3.3796604899999991</v>
      </c>
      <c r="K221" s="34">
        <v>5.5164142859999998</v>
      </c>
      <c r="L221" s="49" t="s">
        <v>8</v>
      </c>
    </row>
    <row r="222" spans="2:12" x14ac:dyDescent="0.35">
      <c r="B222" s="47" t="s">
        <v>185</v>
      </c>
      <c r="C222" s="2" t="s">
        <v>373</v>
      </c>
      <c r="D222" s="2" t="s">
        <v>432</v>
      </c>
      <c r="E222" s="2" t="s">
        <v>434</v>
      </c>
      <c r="F222" s="2" t="s">
        <v>437</v>
      </c>
      <c r="G222" s="34">
        <v>4.4960496082953334</v>
      </c>
      <c r="H222" s="34">
        <v>3.2121980505066658</v>
      </c>
      <c r="I222" s="2" t="s">
        <v>15</v>
      </c>
      <c r="J222" s="34">
        <v>4.0048581374809995</v>
      </c>
      <c r="K222" s="34">
        <v>3.4853073585866663</v>
      </c>
      <c r="L222" s="56" t="s">
        <v>6</v>
      </c>
    </row>
    <row r="223" spans="2:12" x14ac:dyDescent="0.35">
      <c r="B223" s="47" t="s">
        <v>185</v>
      </c>
      <c r="C223" s="2" t="s">
        <v>373</v>
      </c>
      <c r="D223" s="2" t="s">
        <v>432</v>
      </c>
      <c r="E223" s="2" t="s">
        <v>434</v>
      </c>
      <c r="F223" s="2" t="s">
        <v>437</v>
      </c>
      <c r="G223" s="34">
        <v>3.5136666666666656</v>
      </c>
      <c r="H223" s="34">
        <v>3.7584166666666667</v>
      </c>
      <c r="I223" s="2" t="s">
        <v>10</v>
      </c>
      <c r="J223" s="34"/>
      <c r="K223" s="34"/>
      <c r="L223" s="48"/>
    </row>
    <row r="224" spans="2:12" x14ac:dyDescent="0.35">
      <c r="B224" s="47" t="s">
        <v>185</v>
      </c>
      <c r="C224" s="2" t="s">
        <v>373</v>
      </c>
      <c r="D224" s="2" t="s">
        <v>432</v>
      </c>
      <c r="E224" s="2" t="s">
        <v>434</v>
      </c>
      <c r="F224" s="2" t="s">
        <v>438</v>
      </c>
      <c r="G224" s="34">
        <v>5.2230496082953337</v>
      </c>
      <c r="H224" s="34">
        <v>2.3651980505066659</v>
      </c>
      <c r="I224" s="2" t="s">
        <v>66</v>
      </c>
      <c r="J224" s="34">
        <v>5.2230496082953337</v>
      </c>
      <c r="K224" s="34">
        <v>2.3651980505066659</v>
      </c>
      <c r="L224" s="56" t="s">
        <v>6</v>
      </c>
    </row>
    <row r="225" spans="2:12" x14ac:dyDescent="0.35">
      <c r="B225" s="47" t="s">
        <v>185</v>
      </c>
      <c r="C225" s="2" t="s">
        <v>373</v>
      </c>
      <c r="D225" s="2" t="s">
        <v>432</v>
      </c>
      <c r="E225" s="2" t="s">
        <v>439</v>
      </c>
      <c r="F225" s="2" t="s">
        <v>440</v>
      </c>
      <c r="G225" s="34">
        <v>3.4399999999999977</v>
      </c>
      <c r="H225" s="34">
        <v>1.8200000000000003</v>
      </c>
      <c r="I225" s="2" t="s">
        <v>87</v>
      </c>
      <c r="J225" s="34">
        <v>3.4399999999999977</v>
      </c>
      <c r="K225" s="34">
        <v>1.8200000000000003</v>
      </c>
      <c r="L225" s="56" t="s">
        <v>6</v>
      </c>
    </row>
    <row r="226" spans="2:12" x14ac:dyDescent="0.35">
      <c r="B226" s="47" t="s">
        <v>185</v>
      </c>
      <c r="C226" s="2" t="s">
        <v>373</v>
      </c>
      <c r="D226" s="2" t="s">
        <v>432</v>
      </c>
      <c r="E226" s="2" t="s">
        <v>439</v>
      </c>
      <c r="F226" s="2" t="s">
        <v>441</v>
      </c>
      <c r="G226" s="34">
        <v>3.25</v>
      </c>
      <c r="H226" s="34">
        <v>3</v>
      </c>
      <c r="I226" s="2" t="s">
        <v>22</v>
      </c>
      <c r="J226" s="34">
        <v>3.25</v>
      </c>
      <c r="K226" s="34">
        <v>3</v>
      </c>
      <c r="L226" s="56" t="s">
        <v>6</v>
      </c>
    </row>
    <row r="227" spans="2:12" x14ac:dyDescent="0.35">
      <c r="B227" s="47" t="s">
        <v>185</v>
      </c>
      <c r="C227" s="2" t="s">
        <v>373</v>
      </c>
      <c r="D227" s="2" t="s">
        <v>432</v>
      </c>
      <c r="E227" s="2" t="s">
        <v>439</v>
      </c>
      <c r="F227" s="2" t="s">
        <v>442</v>
      </c>
      <c r="G227" s="34">
        <v>2.513949423333333</v>
      </c>
      <c r="H227" s="34">
        <v>2.1910268903333332</v>
      </c>
      <c r="I227" s="2" t="s">
        <v>30</v>
      </c>
      <c r="J227" s="34">
        <v>2.513949423333333</v>
      </c>
      <c r="K227" s="34">
        <v>2.1910268903333332</v>
      </c>
      <c r="L227" s="56" t="s">
        <v>6</v>
      </c>
    </row>
    <row r="228" spans="2:12" x14ac:dyDescent="0.35">
      <c r="B228" s="47" t="s">
        <v>185</v>
      </c>
      <c r="C228" s="2" t="s">
        <v>373</v>
      </c>
      <c r="D228" s="2" t="s">
        <v>432</v>
      </c>
      <c r="E228" s="2" t="s">
        <v>439</v>
      </c>
      <c r="F228" s="2" t="s">
        <v>443</v>
      </c>
      <c r="G228" s="34">
        <v>3.3499999999999979</v>
      </c>
      <c r="H228" s="34">
        <v>3</v>
      </c>
      <c r="I228" s="2" t="s">
        <v>22</v>
      </c>
      <c r="J228" s="34">
        <v>3.3499999999999979</v>
      </c>
      <c r="K228" s="34">
        <v>3</v>
      </c>
      <c r="L228" s="56" t="s">
        <v>6</v>
      </c>
    </row>
    <row r="229" spans="2:12" x14ac:dyDescent="0.35">
      <c r="B229" s="47" t="s">
        <v>185</v>
      </c>
      <c r="C229" s="2" t="s">
        <v>373</v>
      </c>
      <c r="D229" s="2" t="s">
        <v>432</v>
      </c>
      <c r="E229" s="2" t="s">
        <v>439</v>
      </c>
      <c r="F229" s="2" t="s">
        <v>444</v>
      </c>
      <c r="G229" s="34">
        <v>6.3178434383652995</v>
      </c>
      <c r="H229" s="34">
        <v>2.36207803344</v>
      </c>
      <c r="I229" s="2" t="s">
        <v>126</v>
      </c>
      <c r="J229" s="34">
        <v>5.5775561156517819</v>
      </c>
      <c r="K229" s="34">
        <v>3.7946735980066801</v>
      </c>
      <c r="L229" s="56" t="s">
        <v>6</v>
      </c>
    </row>
    <row r="230" spans="2:12" x14ac:dyDescent="0.35">
      <c r="B230" s="47" t="s">
        <v>185</v>
      </c>
      <c r="C230" s="2" t="s">
        <v>373</v>
      </c>
      <c r="D230" s="2" t="s">
        <v>432</v>
      </c>
      <c r="E230" s="2" t="s">
        <v>439</v>
      </c>
      <c r="F230" s="2" t="s">
        <v>444</v>
      </c>
      <c r="G230" s="34">
        <v>6.0030496082953313</v>
      </c>
      <c r="H230" s="34">
        <v>3.565198050506666</v>
      </c>
      <c r="I230" s="2" t="s">
        <v>66</v>
      </c>
      <c r="J230" s="34"/>
      <c r="K230" s="34"/>
      <c r="L230" s="48"/>
    </row>
    <row r="231" spans="2:12" x14ac:dyDescent="0.35">
      <c r="B231" s="47" t="s">
        <v>185</v>
      </c>
      <c r="C231" s="2" t="s">
        <v>373</v>
      </c>
      <c r="D231" s="2" t="s">
        <v>432</v>
      </c>
      <c r="E231" s="2" t="s">
        <v>439</v>
      </c>
      <c r="F231" s="2" t="s">
        <v>444</v>
      </c>
      <c r="G231" s="34">
        <v>4.4117753002947167</v>
      </c>
      <c r="H231" s="34">
        <v>5.4567447100733748</v>
      </c>
      <c r="I231" s="2" t="s">
        <v>12</v>
      </c>
      <c r="J231" s="34"/>
      <c r="K231" s="34"/>
      <c r="L231" s="48"/>
    </row>
    <row r="232" spans="2:12" x14ac:dyDescent="0.35">
      <c r="B232" s="47" t="s">
        <v>185</v>
      </c>
      <c r="C232" s="2" t="s">
        <v>373</v>
      </c>
      <c r="D232" s="2" t="s">
        <v>432</v>
      </c>
      <c r="E232" s="2" t="s">
        <v>439</v>
      </c>
      <c r="F232" s="2" t="s">
        <v>445</v>
      </c>
      <c r="G232" s="34">
        <v>3.9283411500000014</v>
      </c>
      <c r="H232" s="34">
        <v>2.059728195285714</v>
      </c>
      <c r="I232" s="2" t="s">
        <v>30</v>
      </c>
      <c r="J232" s="34">
        <v>3.9283411500000014</v>
      </c>
      <c r="K232" s="34">
        <v>2.059728195285714</v>
      </c>
      <c r="L232" s="56" t="s">
        <v>6</v>
      </c>
    </row>
    <row r="233" spans="2:12" ht="14.6" thickBot="1" x14ac:dyDescent="0.4">
      <c r="B233" s="50" t="s">
        <v>185</v>
      </c>
      <c r="C233" s="51" t="s">
        <v>373</v>
      </c>
      <c r="D233" s="51" t="s">
        <v>432</v>
      </c>
      <c r="E233" s="51" t="s">
        <v>450</v>
      </c>
      <c r="F233" s="51" t="s">
        <v>451</v>
      </c>
      <c r="G233" s="52">
        <v>4.5436136347774552</v>
      </c>
      <c r="H233" s="52">
        <v>7.8737667688969042</v>
      </c>
      <c r="I233" s="51" t="s">
        <v>12</v>
      </c>
      <c r="J233" s="52">
        <v>4.5436136347774552</v>
      </c>
      <c r="K233" s="52">
        <v>7.8737667688969042</v>
      </c>
      <c r="L233" s="68" t="s">
        <v>8</v>
      </c>
    </row>
    <row r="234" spans="2:12" x14ac:dyDescent="0.35">
      <c r="D234" s="2" t="s">
        <v>433</v>
      </c>
      <c r="E234" s="15" t="s">
        <v>559</v>
      </c>
      <c r="G234" s="34">
        <f>AVERAGE(G213:G233)</f>
        <v>4.3952940872826796</v>
      </c>
      <c r="H234" s="34">
        <f>AVERAGE(H213:H233)</f>
        <v>3.4376818933320443</v>
      </c>
      <c r="L234" s="55" t="s">
        <v>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C627-0009-465C-ADD9-794AE4541A62}">
  <dimension ref="A1:L344"/>
  <sheetViews>
    <sheetView zoomScaleNormal="100" workbookViewId="0">
      <selection activeCell="E15" sqref="E15"/>
    </sheetView>
  </sheetViews>
  <sheetFormatPr defaultRowHeight="14.15" x14ac:dyDescent="0.35"/>
  <cols>
    <col min="1" max="1" width="9.140625" style="2"/>
    <col min="2" max="2" width="16.35546875" style="2" customWidth="1"/>
    <col min="3" max="3" width="19.28515625" style="2" customWidth="1"/>
    <col min="4" max="4" width="20.92578125" style="2" customWidth="1"/>
    <col min="5" max="5" width="22.5703125" style="2" customWidth="1"/>
    <col min="6" max="6" width="27" style="2" customWidth="1"/>
    <col min="7" max="8" width="9.140625" style="2"/>
    <col min="9" max="9" width="44.7109375" style="2" customWidth="1"/>
    <col min="10" max="10" width="9.140625" style="2"/>
    <col min="11" max="11" width="11.28515625" style="2" customWidth="1"/>
    <col min="12" max="12" width="15.85546875" style="2" customWidth="1"/>
    <col min="13" max="16384" width="9.140625" style="2"/>
  </cols>
  <sheetData>
    <row r="1" spans="1:12" ht="18" customHeight="1" x14ac:dyDescent="0.35">
      <c r="A1" s="15" t="s">
        <v>606</v>
      </c>
    </row>
    <row r="2" spans="1:12" ht="16.3" thickBot="1" x14ac:dyDescent="0.4">
      <c r="B2" s="17" t="s">
        <v>24</v>
      </c>
      <c r="C2" s="17" t="s">
        <v>1</v>
      </c>
      <c r="D2" s="17" t="s">
        <v>23</v>
      </c>
      <c r="E2" s="17" t="s">
        <v>34</v>
      </c>
      <c r="F2" s="17" t="s">
        <v>35</v>
      </c>
      <c r="G2" s="18" t="s">
        <v>607</v>
      </c>
      <c r="H2" s="19" t="s">
        <v>608</v>
      </c>
      <c r="I2" s="17" t="s">
        <v>36</v>
      </c>
      <c r="J2" s="19" t="s">
        <v>609</v>
      </c>
      <c r="K2" s="19" t="s">
        <v>610</v>
      </c>
      <c r="L2" s="17" t="s">
        <v>4</v>
      </c>
    </row>
    <row r="3" spans="1:12" s="4" customFormat="1" ht="14.6" thickBot="1" x14ac:dyDescent="0.4">
      <c r="B3" s="80" t="s">
        <v>5</v>
      </c>
      <c r="C3" s="81" t="s">
        <v>7</v>
      </c>
      <c r="D3" s="81" t="s">
        <v>27</v>
      </c>
      <c r="E3" s="81" t="s">
        <v>28</v>
      </c>
      <c r="F3" s="81" t="s">
        <v>29</v>
      </c>
      <c r="G3" s="82">
        <v>4.9310808000000002</v>
      </c>
      <c r="H3" s="82">
        <v>5.1287833329999994</v>
      </c>
      <c r="I3" s="81" t="s">
        <v>30</v>
      </c>
      <c r="J3" s="82">
        <v>4.9310808000000002</v>
      </c>
      <c r="K3" s="82">
        <v>5.1287833329999994</v>
      </c>
      <c r="L3" s="83" t="s">
        <v>8</v>
      </c>
    </row>
    <row r="4" spans="1:12" x14ac:dyDescent="0.35">
      <c r="E4" s="2" t="s">
        <v>48</v>
      </c>
      <c r="G4" s="25">
        <v>4.9310808000000002</v>
      </c>
      <c r="H4" s="25">
        <v>5.1287833329999994</v>
      </c>
      <c r="L4" s="10" t="s">
        <v>8</v>
      </c>
    </row>
    <row r="5" spans="1:12" ht="14.6" thickBot="1" x14ac:dyDescent="0.4"/>
    <row r="6" spans="1:12" s="4" customFormat="1" x14ac:dyDescent="0.35">
      <c r="B6" s="20" t="s">
        <v>5</v>
      </c>
      <c r="C6" s="21" t="s">
        <v>7</v>
      </c>
      <c r="D6" s="21" t="s">
        <v>27</v>
      </c>
      <c r="E6" s="21" t="s">
        <v>31</v>
      </c>
      <c r="F6" s="21" t="s">
        <v>9</v>
      </c>
      <c r="G6" s="22">
        <v>4.4814999999999969</v>
      </c>
      <c r="H6" s="22">
        <v>7.5762499999999999</v>
      </c>
      <c r="I6" s="21" t="s">
        <v>10</v>
      </c>
      <c r="J6" s="22">
        <v>4.4814999999999969</v>
      </c>
      <c r="K6" s="22">
        <v>7.5762499999999999</v>
      </c>
      <c r="L6" s="23" t="s">
        <v>8</v>
      </c>
    </row>
    <row r="7" spans="1:12" s="4" customFormat="1" x14ac:dyDescent="0.35">
      <c r="B7" s="24" t="s">
        <v>5</v>
      </c>
      <c r="C7" s="4" t="s">
        <v>7</v>
      </c>
      <c r="D7" s="4" t="s">
        <v>27</v>
      </c>
      <c r="E7" s="4" t="s">
        <v>31</v>
      </c>
      <c r="F7" s="4" t="s">
        <v>11</v>
      </c>
      <c r="G7" s="25">
        <v>3.9993602170132729</v>
      </c>
      <c r="H7" s="25">
        <v>7.6444882322700414</v>
      </c>
      <c r="I7" s="4" t="s">
        <v>12</v>
      </c>
      <c r="J7" s="25">
        <f>AVERAGE(G7,G9,G8,G10,G11,G12)</f>
        <v>4.2612625310736556</v>
      </c>
      <c r="K7" s="25">
        <f>AVERAGE(H7,H8,H9,H10,H11,H12)</f>
        <v>5.6161259696187429</v>
      </c>
      <c r="L7" s="28" t="s">
        <v>8</v>
      </c>
    </row>
    <row r="8" spans="1:12" s="4" customFormat="1" x14ac:dyDescent="0.35">
      <c r="B8" s="24" t="s">
        <v>5</v>
      </c>
      <c r="C8" s="4" t="s">
        <v>7</v>
      </c>
      <c r="D8" s="4" t="s">
        <v>27</v>
      </c>
      <c r="E8" s="4" t="s">
        <v>31</v>
      </c>
      <c r="F8" s="4" t="s">
        <v>11</v>
      </c>
      <c r="G8" s="25">
        <v>4.3209372099534349</v>
      </c>
      <c r="H8" s="25">
        <v>5.8858510307714287</v>
      </c>
      <c r="I8" s="4" t="s">
        <v>13</v>
      </c>
      <c r="J8" s="25"/>
      <c r="K8" s="25"/>
      <c r="L8" s="27"/>
    </row>
    <row r="9" spans="1:12" s="4" customFormat="1" x14ac:dyDescent="0.35">
      <c r="B9" s="24" t="s">
        <v>5</v>
      </c>
      <c r="C9" s="4" t="s">
        <v>7</v>
      </c>
      <c r="D9" s="4" t="s">
        <v>27</v>
      </c>
      <c r="E9" s="4" t="s">
        <v>31</v>
      </c>
      <c r="F9" s="4" t="s">
        <v>11</v>
      </c>
      <c r="G9" s="25">
        <v>4.9507801453710591</v>
      </c>
      <c r="H9" s="25">
        <v>5.7953018374976555</v>
      </c>
      <c r="I9" s="4" t="s">
        <v>14</v>
      </c>
      <c r="J9" s="25"/>
      <c r="K9" s="25"/>
      <c r="L9" s="27"/>
    </row>
    <row r="10" spans="1:12" s="4" customFormat="1" x14ac:dyDescent="0.35">
      <c r="B10" s="24" t="s">
        <v>5</v>
      </c>
      <c r="C10" s="4" t="s">
        <v>7</v>
      </c>
      <c r="D10" s="4" t="s">
        <v>27</v>
      </c>
      <c r="E10" s="4" t="s">
        <v>31</v>
      </c>
      <c r="F10" s="4" t="s">
        <v>11</v>
      </c>
      <c r="G10" s="25">
        <v>5.168049608295334</v>
      </c>
      <c r="H10" s="25">
        <v>4.7921980505066664</v>
      </c>
      <c r="I10" s="4" t="s">
        <v>15</v>
      </c>
      <c r="J10" s="25"/>
      <c r="K10" s="25"/>
      <c r="L10" s="27"/>
    </row>
    <row r="11" spans="1:12" s="4" customFormat="1" x14ac:dyDescent="0.35">
      <c r="B11" s="24" t="s">
        <v>5</v>
      </c>
      <c r="C11" s="4" t="s">
        <v>7</v>
      </c>
      <c r="D11" s="4" t="s">
        <v>27</v>
      </c>
      <c r="E11" s="4" t="s">
        <v>31</v>
      </c>
      <c r="F11" s="4" t="s">
        <v>11</v>
      </c>
      <c r="G11" s="25">
        <v>2.8157813391421698</v>
      </c>
      <c r="H11" s="25">
        <v>3.4329999999999998</v>
      </c>
      <c r="I11" s="4" t="s">
        <v>16</v>
      </c>
      <c r="J11" s="25"/>
      <c r="K11" s="25"/>
      <c r="L11" s="27"/>
    </row>
    <row r="12" spans="1:12" s="4" customFormat="1" ht="14.6" thickBot="1" x14ac:dyDescent="0.4">
      <c r="B12" s="30" t="s">
        <v>5</v>
      </c>
      <c r="C12" s="31" t="s">
        <v>7</v>
      </c>
      <c r="D12" s="31" t="s">
        <v>27</v>
      </c>
      <c r="E12" s="31" t="s">
        <v>31</v>
      </c>
      <c r="F12" s="31" t="s">
        <v>11</v>
      </c>
      <c r="G12" s="32">
        <v>4.3126666666666651</v>
      </c>
      <c r="H12" s="32">
        <v>6.1459166666666665</v>
      </c>
      <c r="I12" s="31" t="s">
        <v>10</v>
      </c>
      <c r="J12" s="32"/>
      <c r="K12" s="32"/>
      <c r="L12" s="40"/>
    </row>
    <row r="13" spans="1:12" x14ac:dyDescent="0.35">
      <c r="E13" s="2" t="s">
        <v>51</v>
      </c>
      <c r="G13" s="34">
        <f>AVERAGE(G6:G12)</f>
        <v>4.292725026634562</v>
      </c>
      <c r="H13" s="34">
        <f>AVERAGE(H6:H12)</f>
        <v>5.8961436882446367</v>
      </c>
      <c r="L13" s="10" t="s">
        <v>8</v>
      </c>
    </row>
    <row r="14" spans="1:12" ht="14.6" thickBot="1" x14ac:dyDescent="0.4"/>
    <row r="15" spans="1:12" x14ac:dyDescent="0.35">
      <c r="B15" s="20" t="s">
        <v>5</v>
      </c>
      <c r="C15" s="21" t="s">
        <v>38</v>
      </c>
      <c r="D15" s="21" t="s">
        <v>39</v>
      </c>
      <c r="E15" s="21" t="s">
        <v>40</v>
      </c>
      <c r="F15" s="21" t="s">
        <v>41</v>
      </c>
      <c r="G15" s="22">
        <v>3.910208786666665</v>
      </c>
      <c r="H15" s="22">
        <v>1.3583535086666665</v>
      </c>
      <c r="I15" s="21" t="s">
        <v>30</v>
      </c>
      <c r="J15" s="22">
        <v>3.910208786666665</v>
      </c>
      <c r="K15" s="22">
        <v>1.3583535086666665</v>
      </c>
      <c r="L15" s="35" t="s">
        <v>19</v>
      </c>
    </row>
    <row r="16" spans="1:12" x14ac:dyDescent="0.35">
      <c r="B16" s="24" t="s">
        <v>5</v>
      </c>
      <c r="C16" s="4" t="s">
        <v>38</v>
      </c>
      <c r="D16" s="4" t="s">
        <v>39</v>
      </c>
      <c r="E16" s="4" t="s">
        <v>40</v>
      </c>
      <c r="F16" s="4" t="s">
        <v>20</v>
      </c>
      <c r="G16" s="25">
        <v>3.9169326250000012</v>
      </c>
      <c r="H16" s="25">
        <v>3.5082833330000005</v>
      </c>
      <c r="I16" s="4" t="s">
        <v>30</v>
      </c>
      <c r="J16" s="25">
        <v>3.9169326250000012</v>
      </c>
      <c r="K16" s="25">
        <v>3.5082833330000005</v>
      </c>
      <c r="L16" s="29" t="s">
        <v>6</v>
      </c>
    </row>
    <row r="17" spans="2:12" ht="14.6" thickBot="1" x14ac:dyDescent="0.4">
      <c r="B17" s="30" t="s">
        <v>5</v>
      </c>
      <c r="C17" s="31" t="s">
        <v>38</v>
      </c>
      <c r="D17" s="31" t="s">
        <v>39</v>
      </c>
      <c r="E17" s="31" t="s">
        <v>40</v>
      </c>
      <c r="F17" s="31" t="s">
        <v>21</v>
      </c>
      <c r="G17" s="32">
        <v>3.0499999999999972</v>
      </c>
      <c r="H17" s="32">
        <v>1.5</v>
      </c>
      <c r="I17" s="31" t="s">
        <v>22</v>
      </c>
      <c r="J17" s="32">
        <v>3.0499999999999972</v>
      </c>
      <c r="K17" s="32">
        <v>1.5</v>
      </c>
      <c r="L17" s="33" t="s">
        <v>19</v>
      </c>
    </row>
    <row r="18" spans="2:12" x14ac:dyDescent="0.35">
      <c r="E18" s="2" t="s">
        <v>484</v>
      </c>
      <c r="G18" s="34">
        <f>AVERAGE(G15:G17)</f>
        <v>3.6257138038888876</v>
      </c>
      <c r="H18" s="34">
        <f>AVERAGE(H15:H17)</f>
        <v>2.1222122805555554</v>
      </c>
      <c r="L18" s="12" t="s">
        <v>6</v>
      </c>
    </row>
    <row r="19" spans="2:12" ht="14.6" thickBot="1" x14ac:dyDescent="0.4"/>
    <row r="20" spans="2:12" ht="14.6" thickBot="1" x14ac:dyDescent="0.4">
      <c r="B20" s="80" t="s">
        <v>58</v>
      </c>
      <c r="C20" s="81" t="s">
        <v>62</v>
      </c>
      <c r="D20" s="81" t="s">
        <v>63</v>
      </c>
      <c r="E20" s="81" t="s">
        <v>64</v>
      </c>
      <c r="F20" s="81" t="s">
        <v>65</v>
      </c>
      <c r="G20" s="82">
        <v>6.8830496082953339</v>
      </c>
      <c r="H20" s="82">
        <v>1.3651980505066661</v>
      </c>
      <c r="I20" s="81" t="s">
        <v>66</v>
      </c>
      <c r="J20" s="82">
        <v>6.8830496082953339</v>
      </c>
      <c r="K20" s="82">
        <v>1.3651980505066661</v>
      </c>
      <c r="L20" s="84" t="s">
        <v>19</v>
      </c>
    </row>
    <row r="21" spans="2:12" x14ac:dyDescent="0.35">
      <c r="E21" s="2" t="s">
        <v>485</v>
      </c>
      <c r="G21" s="25">
        <v>6.8830496082953339</v>
      </c>
      <c r="H21" s="25">
        <v>1.3651980505066661</v>
      </c>
      <c r="L21" s="11" t="s">
        <v>19</v>
      </c>
    </row>
    <row r="22" spans="2:12" ht="14.6" thickBot="1" x14ac:dyDescent="0.4"/>
    <row r="23" spans="2:12" s="4" customFormat="1" ht="14.6" thickBot="1" x14ac:dyDescent="0.4">
      <c r="B23" s="80" t="s">
        <v>58</v>
      </c>
      <c r="C23" s="81" t="s">
        <v>71</v>
      </c>
      <c r="D23" s="81" t="s">
        <v>72</v>
      </c>
      <c r="E23" s="81" t="s">
        <v>76</v>
      </c>
      <c r="F23" s="81" t="s">
        <v>77</v>
      </c>
      <c r="G23" s="82">
        <v>5.9470496082953339</v>
      </c>
      <c r="H23" s="82">
        <v>2.8181980505066657</v>
      </c>
      <c r="I23" s="81" t="s">
        <v>15</v>
      </c>
      <c r="J23" s="82">
        <v>5.9470496082953339</v>
      </c>
      <c r="K23" s="82">
        <v>2.8181980505066657</v>
      </c>
      <c r="L23" s="85" t="s">
        <v>6</v>
      </c>
    </row>
    <row r="24" spans="2:12" x14ac:dyDescent="0.35">
      <c r="E24" s="2" t="s">
        <v>486</v>
      </c>
      <c r="G24" s="25">
        <v>5.9470496082953339</v>
      </c>
      <c r="H24" s="25">
        <v>2.8181980505066657</v>
      </c>
      <c r="L24" s="12" t="s">
        <v>6</v>
      </c>
    </row>
    <row r="25" spans="2:12" ht="14.6" thickBot="1" x14ac:dyDescent="0.4"/>
    <row r="26" spans="2:12" s="4" customFormat="1" x14ac:dyDescent="0.35">
      <c r="B26" s="20" t="s">
        <v>58</v>
      </c>
      <c r="C26" s="21" t="s">
        <v>71</v>
      </c>
      <c r="D26" s="21" t="s">
        <v>72</v>
      </c>
      <c r="E26" s="21" t="s">
        <v>89</v>
      </c>
      <c r="F26" s="21" t="s">
        <v>90</v>
      </c>
      <c r="G26" s="22">
        <v>6.6130496082953307</v>
      </c>
      <c r="H26" s="22">
        <v>0.7351980505066662</v>
      </c>
      <c r="I26" s="21" t="s">
        <v>66</v>
      </c>
      <c r="J26" s="22">
        <f>AVERAGE(G26,G27)</f>
        <v>5.5074156312049816</v>
      </c>
      <c r="K26" s="22">
        <f>AVERAGE(H26,H27)</f>
        <v>2.5589184391135498</v>
      </c>
      <c r="L26" s="86" t="s">
        <v>6</v>
      </c>
    </row>
    <row r="27" spans="2:12" s="4" customFormat="1" x14ac:dyDescent="0.35">
      <c r="B27" s="24" t="s">
        <v>58</v>
      </c>
      <c r="C27" s="4" t="s">
        <v>71</v>
      </c>
      <c r="D27" s="4" t="s">
        <v>72</v>
      </c>
      <c r="E27" s="4" t="s">
        <v>89</v>
      </c>
      <c r="F27" s="4" t="s">
        <v>90</v>
      </c>
      <c r="G27" s="25">
        <v>4.4017816541146333</v>
      </c>
      <c r="H27" s="25">
        <v>4.3826388277204336</v>
      </c>
      <c r="I27" s="4" t="s">
        <v>12</v>
      </c>
      <c r="J27" s="25"/>
      <c r="K27" s="25"/>
      <c r="L27" s="27"/>
    </row>
    <row r="28" spans="2:12" s="4" customFormat="1" x14ac:dyDescent="0.35">
      <c r="B28" s="24" t="s">
        <v>58</v>
      </c>
      <c r="C28" s="4" t="s">
        <v>71</v>
      </c>
      <c r="D28" s="4" t="s">
        <v>72</v>
      </c>
      <c r="E28" s="4" t="s">
        <v>89</v>
      </c>
      <c r="F28" s="4" t="s">
        <v>91</v>
      </c>
      <c r="G28" s="25">
        <v>5.7385056282842228</v>
      </c>
      <c r="H28" s="25">
        <v>3.4399539455066668</v>
      </c>
      <c r="I28" s="4" t="s">
        <v>13</v>
      </c>
      <c r="J28" s="25">
        <f>AVERAGE(G28,G29,G30)</f>
        <v>6.0503801067802598</v>
      </c>
      <c r="K28" s="25">
        <f>AVERAGE(H28,H29,H30)</f>
        <v>2.3467173320044439</v>
      </c>
      <c r="L28" s="29" t="s">
        <v>6</v>
      </c>
    </row>
    <row r="29" spans="2:12" s="4" customFormat="1" x14ac:dyDescent="0.35">
      <c r="B29" s="24" t="s">
        <v>58</v>
      </c>
      <c r="C29" s="4" t="s">
        <v>71</v>
      </c>
      <c r="D29" s="4" t="s">
        <v>72</v>
      </c>
      <c r="E29" s="4" t="s">
        <v>89</v>
      </c>
      <c r="F29" s="4" t="s">
        <v>91</v>
      </c>
      <c r="G29" s="25">
        <v>6.3030496082953338</v>
      </c>
      <c r="H29" s="25">
        <v>3.8021980505066657</v>
      </c>
      <c r="I29" s="4" t="s">
        <v>15</v>
      </c>
      <c r="J29" s="25"/>
      <c r="K29" s="25"/>
      <c r="L29" s="27"/>
    </row>
    <row r="30" spans="2:12" s="4" customFormat="1" ht="14.6" thickBot="1" x14ac:dyDescent="0.4">
      <c r="B30" s="30" t="s">
        <v>58</v>
      </c>
      <c r="C30" s="31" t="s">
        <v>71</v>
      </c>
      <c r="D30" s="31" t="s">
        <v>72</v>
      </c>
      <c r="E30" s="31" t="s">
        <v>89</v>
      </c>
      <c r="F30" s="31" t="s">
        <v>91</v>
      </c>
      <c r="G30" s="32">
        <v>6.1095850837612211</v>
      </c>
      <c r="H30" s="32">
        <v>-0.20199999999999999</v>
      </c>
      <c r="I30" s="31" t="s">
        <v>16</v>
      </c>
      <c r="J30" s="32"/>
      <c r="K30" s="32"/>
      <c r="L30" s="40"/>
    </row>
    <row r="31" spans="2:12" x14ac:dyDescent="0.35">
      <c r="E31" s="2" t="s">
        <v>487</v>
      </c>
      <c r="G31" s="34">
        <f>AVERAGE(G26:G30)</f>
        <v>5.8331943165501476</v>
      </c>
      <c r="H31" s="34">
        <f>AVERAGE(H26:H30)</f>
        <v>2.4315977748480866</v>
      </c>
      <c r="L31" s="12" t="s">
        <v>6</v>
      </c>
    </row>
    <row r="32" spans="2:12" ht="14.6" thickBot="1" x14ac:dyDescent="0.4"/>
    <row r="33" spans="2:12" x14ac:dyDescent="0.35">
      <c r="B33" s="20" t="s">
        <v>58</v>
      </c>
      <c r="C33" s="21" t="s">
        <v>67</v>
      </c>
      <c r="D33" s="21" t="s">
        <v>68</v>
      </c>
      <c r="E33" s="21" t="s">
        <v>78</v>
      </c>
      <c r="F33" s="21" t="s">
        <v>79</v>
      </c>
      <c r="G33" s="22">
        <v>6.312419762120097</v>
      </c>
      <c r="H33" s="22">
        <v>3.7999803439999997</v>
      </c>
      <c r="I33" s="21" t="s">
        <v>13</v>
      </c>
      <c r="J33" s="22">
        <v>6.312419762120097</v>
      </c>
      <c r="K33" s="22">
        <v>3.7999803439999997</v>
      </c>
      <c r="L33" s="86" t="s">
        <v>6</v>
      </c>
    </row>
    <row r="34" spans="2:12" ht="16.75" x14ac:dyDescent="0.5">
      <c r="B34" s="24" t="s">
        <v>58</v>
      </c>
      <c r="C34" s="4" t="s">
        <v>67</v>
      </c>
      <c r="D34" s="4" t="s">
        <v>68</v>
      </c>
      <c r="E34" s="4" t="s">
        <v>78</v>
      </c>
      <c r="F34" s="4" t="s">
        <v>80</v>
      </c>
      <c r="G34" s="25">
        <v>7.0846287274449011</v>
      </c>
      <c r="H34" s="25">
        <v>3.00341066871857</v>
      </c>
      <c r="I34" s="4" t="s">
        <v>12</v>
      </c>
      <c r="J34" s="25">
        <v>7.0846287274449011</v>
      </c>
      <c r="K34" s="25">
        <v>3.00341066871857</v>
      </c>
      <c r="L34" s="36" t="s">
        <v>604</v>
      </c>
    </row>
    <row r="35" spans="2:12" x14ac:dyDescent="0.35">
      <c r="B35" s="24" t="s">
        <v>58</v>
      </c>
      <c r="C35" s="4" t="s">
        <v>67</v>
      </c>
      <c r="D35" s="4" t="s">
        <v>68</v>
      </c>
      <c r="E35" s="4" t="s">
        <v>78</v>
      </c>
      <c r="F35" s="37" t="s">
        <v>81</v>
      </c>
      <c r="G35" s="25">
        <v>6.7933367563923106</v>
      </c>
      <c r="H35" s="25">
        <v>-4.7</v>
      </c>
      <c r="I35" s="4" t="s">
        <v>16</v>
      </c>
      <c r="J35" s="25">
        <v>6.7933367563923106</v>
      </c>
      <c r="K35" s="25">
        <v>-4.7</v>
      </c>
      <c r="L35" s="38" t="s">
        <v>82</v>
      </c>
    </row>
    <row r="36" spans="2:12" ht="16.75" x14ac:dyDescent="0.5">
      <c r="B36" s="24" t="s">
        <v>58</v>
      </c>
      <c r="C36" s="4" t="s">
        <v>67</v>
      </c>
      <c r="D36" s="4" t="s">
        <v>68</v>
      </c>
      <c r="E36" s="4" t="s">
        <v>78</v>
      </c>
      <c r="F36" s="4" t="s">
        <v>83</v>
      </c>
      <c r="G36" s="25">
        <v>8.8009197621200919</v>
      </c>
      <c r="H36" s="25">
        <v>2.8209803440000001</v>
      </c>
      <c r="I36" s="4" t="s">
        <v>13</v>
      </c>
      <c r="J36" s="25">
        <v>8.8009197621200919</v>
      </c>
      <c r="K36" s="25">
        <v>2.8209803440000001</v>
      </c>
      <c r="L36" s="36" t="s">
        <v>604</v>
      </c>
    </row>
    <row r="37" spans="2:12" x14ac:dyDescent="0.35">
      <c r="B37" s="24" t="s">
        <v>58</v>
      </c>
      <c r="C37" s="4" t="s">
        <v>67</v>
      </c>
      <c r="D37" s="4" t="s">
        <v>68</v>
      </c>
      <c r="E37" s="4" t="s">
        <v>78</v>
      </c>
      <c r="F37" s="37" t="s">
        <v>84</v>
      </c>
      <c r="G37" s="25">
        <v>5.0699626575385146</v>
      </c>
      <c r="H37" s="25">
        <v>-1.4283333333333332</v>
      </c>
      <c r="I37" s="4" t="s">
        <v>16</v>
      </c>
      <c r="J37" s="25">
        <v>5.0699626575385146</v>
      </c>
      <c r="K37" s="25">
        <v>-1.4283333333333332</v>
      </c>
      <c r="L37" s="26" t="s">
        <v>19</v>
      </c>
    </row>
    <row r="38" spans="2:12" ht="16.75" x14ac:dyDescent="0.5">
      <c r="B38" s="24" t="s">
        <v>58</v>
      </c>
      <c r="C38" s="4" t="s">
        <v>67</v>
      </c>
      <c r="D38" s="4" t="s">
        <v>68</v>
      </c>
      <c r="E38" s="4" t="s">
        <v>78</v>
      </c>
      <c r="F38" s="4" t="s">
        <v>85</v>
      </c>
      <c r="G38" s="25">
        <v>8.7872335760349536</v>
      </c>
      <c r="H38" s="25">
        <v>1.9882000000000002</v>
      </c>
      <c r="I38" s="4" t="s">
        <v>86</v>
      </c>
      <c r="J38" s="25">
        <f>AVERAGE(G38,G39,G40,G41)</f>
        <v>8.6030917273420719</v>
      </c>
      <c r="K38" s="25">
        <f>AVERAGE(H38,H39,H40,H41)</f>
        <v>2.3222291666666672</v>
      </c>
      <c r="L38" s="36" t="s">
        <v>604</v>
      </c>
    </row>
    <row r="39" spans="2:12" x14ac:dyDescent="0.35">
      <c r="B39" s="24" t="s">
        <v>58</v>
      </c>
      <c r="C39" s="4" t="s">
        <v>67</v>
      </c>
      <c r="D39" s="4" t="s">
        <v>68</v>
      </c>
      <c r="E39" s="4" t="s">
        <v>78</v>
      </c>
      <c r="F39" s="4" t="s">
        <v>85</v>
      </c>
      <c r="G39" s="25">
        <v>8.8949999999999996</v>
      </c>
      <c r="H39" s="25">
        <v>3.8415000000000004</v>
      </c>
      <c r="I39" s="4" t="s">
        <v>87</v>
      </c>
      <c r="J39" s="25"/>
      <c r="K39" s="25"/>
      <c r="L39" s="27"/>
    </row>
    <row r="40" spans="2:12" x14ac:dyDescent="0.35">
      <c r="B40" s="24" t="s">
        <v>58</v>
      </c>
      <c r="C40" s="4" t="s">
        <v>67</v>
      </c>
      <c r="D40" s="4" t="s">
        <v>68</v>
      </c>
      <c r="E40" s="4" t="s">
        <v>78</v>
      </c>
      <c r="F40" s="4" t="s">
        <v>85</v>
      </c>
      <c r="G40" s="25">
        <v>8.4660000000000011</v>
      </c>
      <c r="H40" s="25">
        <v>2.0132000000000003</v>
      </c>
      <c r="I40" s="4" t="s">
        <v>88</v>
      </c>
      <c r="J40" s="25"/>
      <c r="K40" s="25"/>
      <c r="L40" s="27"/>
    </row>
    <row r="41" spans="2:12" ht="14.6" thickBot="1" x14ac:dyDescent="0.4">
      <c r="B41" s="30" t="s">
        <v>58</v>
      </c>
      <c r="C41" s="31" t="s">
        <v>67</v>
      </c>
      <c r="D41" s="31" t="s">
        <v>68</v>
      </c>
      <c r="E41" s="31" t="s">
        <v>78</v>
      </c>
      <c r="F41" s="31" t="s">
        <v>85</v>
      </c>
      <c r="G41" s="32">
        <v>8.26413333333333</v>
      </c>
      <c r="H41" s="32">
        <v>1.4460166666666669</v>
      </c>
      <c r="I41" s="31" t="s">
        <v>10</v>
      </c>
      <c r="J41" s="32"/>
      <c r="K41" s="32"/>
      <c r="L41" s="40"/>
    </row>
    <row r="42" spans="2:12" ht="16.75" x14ac:dyDescent="0.5">
      <c r="E42" s="2" t="s">
        <v>488</v>
      </c>
      <c r="G42" s="34">
        <f>AVERAGE(G33:G41)</f>
        <v>7.6081816194426874</v>
      </c>
      <c r="H42" s="34">
        <f>AVERAGE(H33:H41)</f>
        <v>1.4205505211168785</v>
      </c>
      <c r="L42" s="13" t="s">
        <v>604</v>
      </c>
    </row>
    <row r="43" spans="2:12" ht="14.6" thickBot="1" x14ac:dyDescent="0.4"/>
    <row r="44" spans="2:12" x14ac:dyDescent="0.35">
      <c r="B44" s="20" t="s">
        <v>58</v>
      </c>
      <c r="C44" s="21" t="s">
        <v>67</v>
      </c>
      <c r="D44" s="21" t="s">
        <v>68</v>
      </c>
      <c r="E44" s="21" t="s">
        <v>92</v>
      </c>
      <c r="F44" s="21" t="s">
        <v>93</v>
      </c>
      <c r="G44" s="22">
        <v>3.4378107359839198</v>
      </c>
      <c r="H44" s="22">
        <v>4.2885690611111107</v>
      </c>
      <c r="I44" s="21" t="s">
        <v>94</v>
      </c>
      <c r="J44" s="22">
        <v>3.4378107359839198</v>
      </c>
      <c r="K44" s="22">
        <v>4.2885690611111107</v>
      </c>
      <c r="L44" s="86" t="s">
        <v>6</v>
      </c>
    </row>
    <row r="45" spans="2:12" ht="16.75" x14ac:dyDescent="0.5">
      <c r="B45" s="24" t="s">
        <v>58</v>
      </c>
      <c r="C45" s="4" t="s">
        <v>67</v>
      </c>
      <c r="D45" s="4" t="s">
        <v>68</v>
      </c>
      <c r="E45" s="4" t="s">
        <v>92</v>
      </c>
      <c r="F45" s="4" t="s">
        <v>95</v>
      </c>
      <c r="G45" s="25">
        <v>7.7588071013319961</v>
      </c>
      <c r="H45" s="25">
        <v>1.3085985518600003</v>
      </c>
      <c r="I45" s="4" t="s">
        <v>96</v>
      </c>
      <c r="J45" s="25">
        <f>AVERAGE(G45,G46,G47,G48,G49,G50,G51)</f>
        <v>7.3784617239693109</v>
      </c>
      <c r="K45" s="25">
        <f>AVERAGE(H45,H46,H47,H48,H50,H49,H51)</f>
        <v>0.76246739751715498</v>
      </c>
      <c r="L45" s="36" t="s">
        <v>604</v>
      </c>
    </row>
    <row r="46" spans="2:12" x14ac:dyDescent="0.35">
      <c r="B46" s="24" t="s">
        <v>58</v>
      </c>
      <c r="C46" s="4" t="s">
        <v>67</v>
      </c>
      <c r="D46" s="4" t="s">
        <v>68</v>
      </c>
      <c r="E46" s="4" t="s">
        <v>92</v>
      </c>
      <c r="F46" s="4" t="s">
        <v>95</v>
      </c>
      <c r="G46" s="25">
        <v>6.9170634405072953</v>
      </c>
      <c r="H46" s="25">
        <v>-0.94289247735042703</v>
      </c>
      <c r="I46" s="4" t="s">
        <v>94</v>
      </c>
      <c r="J46" s="25"/>
      <c r="K46" s="25"/>
      <c r="L46" s="27"/>
    </row>
    <row r="47" spans="2:12" x14ac:dyDescent="0.35">
      <c r="B47" s="24" t="s">
        <v>58</v>
      </c>
      <c r="C47" s="4" t="s">
        <v>67</v>
      </c>
      <c r="D47" s="4" t="s">
        <v>68</v>
      </c>
      <c r="E47" s="4" t="s">
        <v>92</v>
      </c>
      <c r="F47" s="4" t="s">
        <v>95</v>
      </c>
      <c r="G47" s="25">
        <v>8.2588071013319961</v>
      </c>
      <c r="H47" s="25">
        <v>2.3085985518600003</v>
      </c>
      <c r="I47" s="4" t="s">
        <v>13</v>
      </c>
      <c r="J47" s="25"/>
      <c r="K47" s="25"/>
      <c r="L47" s="27"/>
    </row>
    <row r="48" spans="2:12" x14ac:dyDescent="0.35">
      <c r="B48" s="24" t="s">
        <v>58</v>
      </c>
      <c r="C48" s="4" t="s">
        <v>67</v>
      </c>
      <c r="D48" s="4" t="s">
        <v>68</v>
      </c>
      <c r="E48" s="4" t="s">
        <v>92</v>
      </c>
      <c r="F48" s="4" t="s">
        <v>95</v>
      </c>
      <c r="G48" s="25">
        <v>7.2067381496518976</v>
      </c>
      <c r="H48" s="25">
        <v>0.25005243907717789</v>
      </c>
      <c r="I48" s="4" t="s">
        <v>14</v>
      </c>
      <c r="J48" s="25"/>
      <c r="K48" s="25"/>
      <c r="L48" s="27"/>
    </row>
    <row r="49" spans="2:12" x14ac:dyDescent="0.35">
      <c r="B49" s="24" t="s">
        <v>58</v>
      </c>
      <c r="C49" s="4" t="s">
        <v>67</v>
      </c>
      <c r="D49" s="4" t="s">
        <v>68</v>
      </c>
      <c r="E49" s="4" t="s">
        <v>92</v>
      </c>
      <c r="F49" s="4" t="s">
        <v>95</v>
      </c>
      <c r="G49" s="25">
        <v>7.716049608295334</v>
      </c>
      <c r="H49" s="25">
        <v>-0.28180194949333415</v>
      </c>
      <c r="I49" s="4" t="s">
        <v>15</v>
      </c>
      <c r="J49" s="25"/>
      <c r="K49" s="25"/>
      <c r="L49" s="27"/>
    </row>
    <row r="50" spans="2:12" x14ac:dyDescent="0.35">
      <c r="B50" s="24" t="s">
        <v>58</v>
      </c>
      <c r="C50" s="4" t="s">
        <v>67</v>
      </c>
      <c r="D50" s="4" t="s">
        <v>68</v>
      </c>
      <c r="E50" s="4" t="s">
        <v>92</v>
      </c>
      <c r="F50" s="4" t="s">
        <v>95</v>
      </c>
      <c r="G50" s="25">
        <v>6.0073000000000008</v>
      </c>
      <c r="H50" s="25">
        <v>0.55670000000000019</v>
      </c>
      <c r="I50" s="4" t="s">
        <v>88</v>
      </c>
      <c r="J50" s="25"/>
      <c r="K50" s="25"/>
      <c r="L50" s="27"/>
    </row>
    <row r="51" spans="2:12" x14ac:dyDescent="0.35">
      <c r="B51" s="24" t="s">
        <v>58</v>
      </c>
      <c r="C51" s="4" t="s">
        <v>67</v>
      </c>
      <c r="D51" s="4" t="s">
        <v>68</v>
      </c>
      <c r="E51" s="4" t="s">
        <v>92</v>
      </c>
      <c r="F51" s="4" t="s">
        <v>95</v>
      </c>
      <c r="G51" s="25">
        <v>7.7844666666666633</v>
      </c>
      <c r="H51" s="25">
        <v>2.1380166666666671</v>
      </c>
      <c r="I51" s="4" t="s">
        <v>10</v>
      </c>
      <c r="J51" s="25"/>
      <c r="K51" s="25"/>
      <c r="L51" s="27"/>
    </row>
    <row r="52" spans="2:12" ht="16.75" x14ac:dyDescent="0.5">
      <c r="B52" s="24" t="s">
        <v>58</v>
      </c>
      <c r="C52" s="4" t="s">
        <v>67</v>
      </c>
      <c r="D52" s="4" t="s">
        <v>68</v>
      </c>
      <c r="E52" s="4" t="s">
        <v>92</v>
      </c>
      <c r="F52" s="4" t="s">
        <v>97</v>
      </c>
      <c r="G52" s="25">
        <v>7.5136700663579639</v>
      </c>
      <c r="H52" s="25">
        <v>6.860235727777777</v>
      </c>
      <c r="I52" s="4" t="s">
        <v>94</v>
      </c>
      <c r="J52" s="25">
        <v>7.5136700663579639</v>
      </c>
      <c r="K52" s="25">
        <v>6.860235727777777</v>
      </c>
      <c r="L52" s="36" t="s">
        <v>604</v>
      </c>
    </row>
    <row r="53" spans="2:12" x14ac:dyDescent="0.35">
      <c r="B53" s="24" t="s">
        <v>58</v>
      </c>
      <c r="C53" s="4" t="s">
        <v>67</v>
      </c>
      <c r="D53" s="4" t="s">
        <v>68</v>
      </c>
      <c r="E53" s="4" t="s">
        <v>92</v>
      </c>
      <c r="F53" s="4" t="s">
        <v>98</v>
      </c>
      <c r="G53" s="25">
        <v>6.7370496082953331</v>
      </c>
      <c r="H53" s="25">
        <v>1.8741980505066658</v>
      </c>
      <c r="I53" s="4" t="s">
        <v>15</v>
      </c>
      <c r="J53" s="25">
        <f>AVERAGE(G53,G54)</f>
        <v>5.902006677494489</v>
      </c>
      <c r="K53" s="25">
        <f>AVERAGE(H53,H54)</f>
        <v>-0.17690097474666722</v>
      </c>
      <c r="L53" s="26" t="s">
        <v>19</v>
      </c>
    </row>
    <row r="54" spans="2:12" x14ac:dyDescent="0.35">
      <c r="B54" s="24" t="s">
        <v>58</v>
      </c>
      <c r="C54" s="4" t="s">
        <v>67</v>
      </c>
      <c r="D54" s="4" t="s">
        <v>68</v>
      </c>
      <c r="E54" s="4" t="s">
        <v>92</v>
      </c>
      <c r="F54" s="4" t="s">
        <v>98</v>
      </c>
      <c r="G54" s="25">
        <v>5.066963746693645</v>
      </c>
      <c r="H54" s="25">
        <v>-2.2280000000000002</v>
      </c>
      <c r="I54" s="4" t="s">
        <v>16</v>
      </c>
      <c r="J54" s="25"/>
      <c r="K54" s="25"/>
      <c r="L54" s="27"/>
    </row>
    <row r="55" spans="2:12" x14ac:dyDescent="0.35">
      <c r="B55" s="24" t="s">
        <v>58</v>
      </c>
      <c r="C55" s="4" t="s">
        <v>67</v>
      </c>
      <c r="D55" s="4" t="s">
        <v>68</v>
      </c>
      <c r="E55" s="4" t="s">
        <v>92</v>
      </c>
      <c r="F55" s="4" t="s">
        <v>99</v>
      </c>
      <c r="G55" s="25">
        <v>7.5097179543240919</v>
      </c>
      <c r="H55" s="25">
        <v>4.472256454747443</v>
      </c>
      <c r="I55" s="4" t="s">
        <v>12</v>
      </c>
      <c r="J55" s="25">
        <f>AVERAGE(G55:G57)</f>
        <v>6.8116787718407181</v>
      </c>
      <c r="K55" s="25">
        <f>AVERAGE(H55:H57)</f>
        <v>3.1513496845018758</v>
      </c>
      <c r="L55" s="29" t="s">
        <v>6</v>
      </c>
    </row>
    <row r="56" spans="2:12" ht="14.6" thickBot="1" x14ac:dyDescent="0.4">
      <c r="B56" s="30" t="s">
        <v>58</v>
      </c>
      <c r="C56" s="31" t="s">
        <v>67</v>
      </c>
      <c r="D56" s="31" t="s">
        <v>68</v>
      </c>
      <c r="E56" s="31" t="s">
        <v>92</v>
      </c>
      <c r="F56" s="31" t="s">
        <v>99</v>
      </c>
      <c r="G56" s="32">
        <v>6.1510496082953328</v>
      </c>
      <c r="H56" s="32">
        <v>3.154198050506666</v>
      </c>
      <c r="I56" s="31" t="s">
        <v>15</v>
      </c>
      <c r="J56" s="87"/>
      <c r="K56" s="87"/>
      <c r="L56" s="40"/>
    </row>
    <row r="57" spans="2:12" x14ac:dyDescent="0.35">
      <c r="E57" s="2" t="s">
        <v>489</v>
      </c>
      <c r="G57" s="34">
        <f>AVERAGE(G44:G56)</f>
        <v>6.7742687529027288</v>
      </c>
      <c r="H57" s="34">
        <f>AVERAGE(H44:H56)</f>
        <v>1.8275945482515188</v>
      </c>
      <c r="L57" s="12" t="s">
        <v>6</v>
      </c>
    </row>
    <row r="58" spans="2:12" ht="14.6" thickBot="1" x14ac:dyDescent="0.4"/>
    <row r="59" spans="2:12" s="4" customFormat="1" ht="17.149999999999999" thickBot="1" x14ac:dyDescent="0.55000000000000004">
      <c r="B59" s="80" t="s">
        <v>58</v>
      </c>
      <c r="C59" s="81" t="s">
        <v>67</v>
      </c>
      <c r="D59" s="81" t="s">
        <v>68</v>
      </c>
      <c r="E59" s="81" t="s">
        <v>69</v>
      </c>
      <c r="F59" s="81" t="s">
        <v>70</v>
      </c>
      <c r="G59" s="82">
        <v>7.0377758975148907</v>
      </c>
      <c r="H59" s="82">
        <v>3.6974672590929831</v>
      </c>
      <c r="I59" s="81" t="s">
        <v>12</v>
      </c>
      <c r="J59" s="82">
        <v>7.0377758975148907</v>
      </c>
      <c r="K59" s="82">
        <v>3.6974672590929831</v>
      </c>
      <c r="L59" s="88" t="s">
        <v>604</v>
      </c>
    </row>
    <row r="60" spans="2:12" ht="16.75" x14ac:dyDescent="0.5">
      <c r="E60" s="2" t="s">
        <v>490</v>
      </c>
      <c r="G60" s="25">
        <v>7.0377758975148907</v>
      </c>
      <c r="H60" s="25">
        <v>3.6974672590929831</v>
      </c>
      <c r="L60" s="13" t="s">
        <v>605</v>
      </c>
    </row>
    <row r="61" spans="2:12" ht="14.6" thickBot="1" x14ac:dyDescent="0.4">
      <c r="G61" s="25"/>
      <c r="H61" s="25"/>
      <c r="L61" s="4"/>
    </row>
    <row r="62" spans="2:12" x14ac:dyDescent="0.35">
      <c r="B62" s="20" t="s">
        <v>109</v>
      </c>
      <c r="C62" s="21" t="s">
        <v>110</v>
      </c>
      <c r="D62" s="21" t="s">
        <v>114</v>
      </c>
      <c r="E62" s="21" t="s">
        <v>115</v>
      </c>
      <c r="F62" s="21" t="s">
        <v>116</v>
      </c>
      <c r="G62" s="22">
        <v>4.0154356238390783</v>
      </c>
      <c r="H62" s="22">
        <v>-2.9652052591068641</v>
      </c>
      <c r="I62" s="21" t="s">
        <v>117</v>
      </c>
      <c r="J62" s="22">
        <f>AVERAGE(G62,G63)</f>
        <v>3.8180380480335412</v>
      </c>
      <c r="K62" s="22">
        <f>AVERAGE(H62,H63)</f>
        <v>-2.4619776295534317</v>
      </c>
      <c r="L62" s="89" t="s">
        <v>82</v>
      </c>
    </row>
    <row r="63" spans="2:12" x14ac:dyDescent="0.35">
      <c r="B63" s="24" t="s">
        <v>109</v>
      </c>
      <c r="C63" s="4" t="s">
        <v>110</v>
      </c>
      <c r="D63" s="4" t="s">
        <v>114</v>
      </c>
      <c r="E63" s="4" t="s">
        <v>115</v>
      </c>
      <c r="F63" s="4" t="s">
        <v>116</v>
      </c>
      <c r="G63" s="25">
        <v>3.6206404722280041</v>
      </c>
      <c r="H63" s="25">
        <v>-1.9587499999999998</v>
      </c>
      <c r="I63" s="4" t="s">
        <v>86</v>
      </c>
      <c r="J63" s="25"/>
      <c r="K63" s="25"/>
      <c r="L63" s="27"/>
    </row>
    <row r="64" spans="2:12" x14ac:dyDescent="0.35">
      <c r="B64" s="24" t="s">
        <v>109</v>
      </c>
      <c r="C64" s="4" t="s">
        <v>110</v>
      </c>
      <c r="D64" s="4" t="s">
        <v>114</v>
      </c>
      <c r="E64" s="4" t="s">
        <v>115</v>
      </c>
      <c r="F64" s="4" t="s">
        <v>118</v>
      </c>
      <c r="G64" s="25">
        <v>3.0575941335552379</v>
      </c>
      <c r="H64" s="25">
        <v>-0.62899999999999956</v>
      </c>
      <c r="I64" s="4" t="s">
        <v>86</v>
      </c>
      <c r="J64" s="25">
        <v>3.0575941335552379</v>
      </c>
      <c r="K64" s="25">
        <v>-0.62899999999999956</v>
      </c>
      <c r="L64" s="26" t="s">
        <v>19</v>
      </c>
    </row>
    <row r="65" spans="2:12" x14ac:dyDescent="0.35">
      <c r="B65" s="24" t="s">
        <v>109</v>
      </c>
      <c r="C65" s="4" t="s">
        <v>110</v>
      </c>
      <c r="D65" s="4" t="s">
        <v>114</v>
      </c>
      <c r="E65" s="4" t="s">
        <v>115</v>
      </c>
      <c r="F65" s="4" t="s">
        <v>119</v>
      </c>
      <c r="G65" s="25">
        <v>4.2823544343141293</v>
      </c>
      <c r="H65" s="25">
        <v>-0.58699999999999974</v>
      </c>
      <c r="I65" s="4" t="s">
        <v>120</v>
      </c>
      <c r="J65" s="25">
        <v>4.2823544343141293</v>
      </c>
      <c r="K65" s="25">
        <v>-0.58699999999999974</v>
      </c>
      <c r="L65" s="26" t="s">
        <v>19</v>
      </c>
    </row>
    <row r="66" spans="2:12" x14ac:dyDescent="0.35">
      <c r="B66" s="24" t="s">
        <v>109</v>
      </c>
      <c r="C66" s="4" t="s">
        <v>110</v>
      </c>
      <c r="D66" s="4" t="s">
        <v>114</v>
      </c>
      <c r="E66" s="4" t="s">
        <v>115</v>
      </c>
      <c r="F66" s="4" t="s">
        <v>121</v>
      </c>
      <c r="G66" s="25">
        <v>2.9800000000000004</v>
      </c>
      <c r="H66" s="25">
        <v>-5.15</v>
      </c>
      <c r="I66" s="4" t="s">
        <v>87</v>
      </c>
      <c r="J66" s="25">
        <f>AVERAGE(G66,G67)</f>
        <v>2.4811999999999994</v>
      </c>
      <c r="K66" s="25">
        <f>AVERAGE(H66,H67)</f>
        <v>-5.7637499999999999</v>
      </c>
      <c r="L66" s="38" t="s">
        <v>82</v>
      </c>
    </row>
    <row r="67" spans="2:12" x14ac:dyDescent="0.35">
      <c r="B67" s="24" t="s">
        <v>109</v>
      </c>
      <c r="C67" s="4" t="s">
        <v>110</v>
      </c>
      <c r="D67" s="4" t="s">
        <v>114</v>
      </c>
      <c r="E67" s="4" t="s">
        <v>115</v>
      </c>
      <c r="F67" s="4" t="s">
        <v>121</v>
      </c>
      <c r="G67" s="25">
        <v>1.9823999999999984</v>
      </c>
      <c r="H67" s="25">
        <v>-6.3775000000000004</v>
      </c>
      <c r="I67" s="4" t="s">
        <v>88</v>
      </c>
      <c r="J67" s="25"/>
      <c r="K67" s="25"/>
      <c r="L67" s="27"/>
    </row>
    <row r="68" spans="2:12" ht="14.6" thickBot="1" x14ac:dyDescent="0.4">
      <c r="B68" s="30" t="s">
        <v>109</v>
      </c>
      <c r="C68" s="31" t="s">
        <v>110</v>
      </c>
      <c r="D68" s="31" t="s">
        <v>114</v>
      </c>
      <c r="E68" s="31" t="s">
        <v>115</v>
      </c>
      <c r="F68" s="31" t="s">
        <v>122</v>
      </c>
      <c r="G68" s="32">
        <v>3.6816456002210245</v>
      </c>
      <c r="H68" s="32">
        <v>-0.46600000000000019</v>
      </c>
      <c r="I68" s="31" t="s">
        <v>123</v>
      </c>
      <c r="J68" s="32">
        <v>3.6816456002210245</v>
      </c>
      <c r="K68" s="32">
        <v>-0.46600000000000019</v>
      </c>
      <c r="L68" s="33" t="s">
        <v>19</v>
      </c>
    </row>
    <row r="69" spans="2:12" x14ac:dyDescent="0.35">
      <c r="E69" s="2" t="s">
        <v>491</v>
      </c>
      <c r="G69" s="34">
        <f>AVERAGE(G62:G68)</f>
        <v>3.3742957520224963</v>
      </c>
      <c r="H69" s="34">
        <f>AVERAGE(H62:H68)</f>
        <v>-2.5904936084438375</v>
      </c>
      <c r="L69" s="14" t="s">
        <v>82</v>
      </c>
    </row>
    <row r="70" spans="2:12" ht="14.6" thickBot="1" x14ac:dyDescent="0.4"/>
    <row r="71" spans="2:12" x14ac:dyDescent="0.35">
      <c r="B71" s="20" t="s">
        <v>109</v>
      </c>
      <c r="C71" s="21" t="s">
        <v>110</v>
      </c>
      <c r="D71" s="21" t="s">
        <v>114</v>
      </c>
      <c r="E71" s="21" t="s">
        <v>124</v>
      </c>
      <c r="F71" s="21" t="s">
        <v>125</v>
      </c>
      <c r="G71" s="22">
        <v>3.7834869565217417</v>
      </c>
      <c r="H71" s="22">
        <v>-0.91359999999999975</v>
      </c>
      <c r="I71" s="21" t="s">
        <v>86</v>
      </c>
      <c r="J71" s="22">
        <f>AVERAGE(G71,G72,G74,G73,G75,G76,G77,G78,G79,G80)</f>
        <v>3.9330319590329923</v>
      </c>
      <c r="K71" s="22">
        <f>AVERAGE(H71,H72,H73,H74,H75,H76,H77,H79,H78,H80)</f>
        <v>-1.2841527052569657</v>
      </c>
      <c r="L71" s="35" t="s">
        <v>19</v>
      </c>
    </row>
    <row r="72" spans="2:12" x14ac:dyDescent="0.35">
      <c r="B72" s="24" t="s">
        <v>109</v>
      </c>
      <c r="C72" s="4" t="s">
        <v>110</v>
      </c>
      <c r="D72" s="4" t="s">
        <v>114</v>
      </c>
      <c r="E72" s="4" t="s">
        <v>124</v>
      </c>
      <c r="F72" s="4" t="s">
        <v>125</v>
      </c>
      <c r="G72" s="25">
        <v>4.0030496082952975</v>
      </c>
      <c r="H72" s="25">
        <v>-1.5348019494933336</v>
      </c>
      <c r="I72" s="4" t="s">
        <v>126</v>
      </c>
      <c r="J72" s="25"/>
      <c r="K72" s="25"/>
      <c r="L72" s="27"/>
    </row>
    <row r="73" spans="2:12" x14ac:dyDescent="0.35">
      <c r="B73" s="24" t="s">
        <v>109</v>
      </c>
      <c r="C73" s="4" t="s">
        <v>110</v>
      </c>
      <c r="D73" s="4" t="s">
        <v>114</v>
      </c>
      <c r="E73" s="4" t="s">
        <v>124</v>
      </c>
      <c r="F73" s="4" t="s">
        <v>125</v>
      </c>
      <c r="G73" s="25">
        <v>3.6205867330246342</v>
      </c>
      <c r="H73" s="25">
        <v>-0.54236843888888919</v>
      </c>
      <c r="I73" s="4" t="s">
        <v>94</v>
      </c>
      <c r="J73" s="25"/>
      <c r="K73" s="25"/>
      <c r="L73" s="27"/>
    </row>
    <row r="74" spans="2:12" x14ac:dyDescent="0.35">
      <c r="B74" s="24" t="s">
        <v>109</v>
      </c>
      <c r="C74" s="4" t="s">
        <v>110</v>
      </c>
      <c r="D74" s="4" t="s">
        <v>114</v>
      </c>
      <c r="E74" s="4" t="s">
        <v>124</v>
      </c>
      <c r="F74" s="4" t="s">
        <v>125</v>
      </c>
      <c r="G74" s="25">
        <v>4.2380763427032875</v>
      </c>
      <c r="H74" s="25">
        <v>-1.8775766960765772E-4</v>
      </c>
      <c r="I74" s="4" t="s">
        <v>12</v>
      </c>
      <c r="J74" s="25"/>
      <c r="K74" s="25"/>
      <c r="L74" s="27"/>
    </row>
    <row r="75" spans="2:12" x14ac:dyDescent="0.35">
      <c r="B75" s="24" t="s">
        <v>109</v>
      </c>
      <c r="C75" s="4" t="s">
        <v>110</v>
      </c>
      <c r="D75" s="4" t="s">
        <v>114</v>
      </c>
      <c r="E75" s="4" t="s">
        <v>124</v>
      </c>
      <c r="F75" s="4" t="s">
        <v>125</v>
      </c>
      <c r="G75" s="25">
        <v>3.9030496082953334</v>
      </c>
      <c r="H75" s="25">
        <v>-1.034801949493334</v>
      </c>
      <c r="I75" s="4" t="s">
        <v>13</v>
      </c>
      <c r="J75" s="25"/>
      <c r="K75" s="25"/>
      <c r="L75" s="27"/>
    </row>
    <row r="76" spans="2:12" x14ac:dyDescent="0.35">
      <c r="B76" s="24" t="s">
        <v>109</v>
      </c>
      <c r="C76" s="4" t="s">
        <v>110</v>
      </c>
      <c r="D76" s="4" t="s">
        <v>114</v>
      </c>
      <c r="E76" s="4" t="s">
        <v>124</v>
      </c>
      <c r="F76" s="4" t="s">
        <v>125</v>
      </c>
      <c r="G76" s="25">
        <v>3.3262347792071019</v>
      </c>
      <c r="H76" s="25">
        <v>-1.2612150075311597</v>
      </c>
      <c r="I76" s="4" t="s">
        <v>14</v>
      </c>
      <c r="J76" s="25"/>
      <c r="K76" s="25"/>
      <c r="L76" s="27"/>
    </row>
    <row r="77" spans="2:12" x14ac:dyDescent="0.35">
      <c r="B77" s="24" t="s">
        <v>109</v>
      </c>
      <c r="C77" s="4" t="s">
        <v>110</v>
      </c>
      <c r="D77" s="4" t="s">
        <v>114</v>
      </c>
      <c r="E77" s="4" t="s">
        <v>124</v>
      </c>
      <c r="F77" s="4" t="s">
        <v>125</v>
      </c>
      <c r="G77" s="25">
        <v>4.4666666666666686</v>
      </c>
      <c r="H77" s="25">
        <v>-2.666666666666667</v>
      </c>
      <c r="I77" s="4" t="s">
        <v>127</v>
      </c>
      <c r="J77" s="25"/>
      <c r="K77" s="25"/>
      <c r="L77" s="27"/>
    </row>
    <row r="78" spans="2:12" x14ac:dyDescent="0.35">
      <c r="B78" s="24" t="s">
        <v>109</v>
      </c>
      <c r="C78" s="4" t="s">
        <v>110</v>
      </c>
      <c r="D78" s="4" t="s">
        <v>114</v>
      </c>
      <c r="E78" s="4" t="s">
        <v>124</v>
      </c>
      <c r="F78" s="4" t="s">
        <v>125</v>
      </c>
      <c r="G78" s="25">
        <v>3.9030496082953334</v>
      </c>
      <c r="H78" s="25">
        <v>-1.034801949493334</v>
      </c>
      <c r="I78" s="4" t="s">
        <v>15</v>
      </c>
      <c r="J78" s="25"/>
      <c r="K78" s="25"/>
      <c r="L78" s="27"/>
    </row>
    <row r="79" spans="2:12" x14ac:dyDescent="0.35">
      <c r="B79" s="24" t="s">
        <v>109</v>
      </c>
      <c r="C79" s="4" t="s">
        <v>110</v>
      </c>
      <c r="D79" s="4" t="s">
        <v>114</v>
      </c>
      <c r="E79" s="4" t="s">
        <v>124</v>
      </c>
      <c r="F79" s="4" t="s">
        <v>125</v>
      </c>
      <c r="G79" s="25">
        <v>4.8780000000000001</v>
      </c>
      <c r="H79" s="25">
        <v>-2.6374999999999993</v>
      </c>
      <c r="I79" s="4" t="s">
        <v>87</v>
      </c>
      <c r="J79" s="25"/>
      <c r="K79" s="25"/>
      <c r="L79" s="27"/>
    </row>
    <row r="80" spans="2:12" ht="14.6" thickBot="1" x14ac:dyDescent="0.4">
      <c r="B80" s="30" t="s">
        <v>109</v>
      </c>
      <c r="C80" s="31" t="s">
        <v>110</v>
      </c>
      <c r="D80" s="31" t="s">
        <v>114</v>
      </c>
      <c r="E80" s="31" t="s">
        <v>124</v>
      </c>
      <c r="F80" s="31" t="s">
        <v>125</v>
      </c>
      <c r="G80" s="32">
        <v>3.2081192873205318</v>
      </c>
      <c r="H80" s="32">
        <v>-1.215583333333333</v>
      </c>
      <c r="I80" s="31" t="s">
        <v>10</v>
      </c>
      <c r="J80" s="32"/>
      <c r="K80" s="32"/>
      <c r="L80" s="40"/>
    </row>
    <row r="81" spans="2:12" x14ac:dyDescent="0.35">
      <c r="E81" s="2" t="s">
        <v>492</v>
      </c>
      <c r="G81" s="34">
        <f>AVERAGE(G71:G80)</f>
        <v>3.9330319590329923</v>
      </c>
      <c r="H81" s="34">
        <f>AVERAGE(H71:H80)</f>
        <v>-1.2841527052569659</v>
      </c>
      <c r="L81" s="11" t="s">
        <v>19</v>
      </c>
    </row>
    <row r="82" spans="2:12" ht="14.6" thickBot="1" x14ac:dyDescent="0.4"/>
    <row r="83" spans="2:12" s="4" customFormat="1" ht="14.6" thickBot="1" x14ac:dyDescent="0.4">
      <c r="B83" s="80" t="s">
        <v>109</v>
      </c>
      <c r="C83" s="81" t="s">
        <v>110</v>
      </c>
      <c r="D83" s="81" t="s">
        <v>114</v>
      </c>
      <c r="E83" s="81" t="s">
        <v>128</v>
      </c>
      <c r="F83" s="90" t="s">
        <v>129</v>
      </c>
      <c r="G83" s="82">
        <v>2.0338547956947011</v>
      </c>
      <c r="H83" s="82">
        <v>1.6582105263157896</v>
      </c>
      <c r="I83" s="81" t="s">
        <v>16</v>
      </c>
      <c r="J83" s="82">
        <v>2.0338547956947011</v>
      </c>
      <c r="K83" s="82">
        <v>1.6582105263157896</v>
      </c>
      <c r="L83" s="84" t="s">
        <v>19</v>
      </c>
    </row>
    <row r="84" spans="2:12" x14ac:dyDescent="0.35">
      <c r="E84" s="2" t="s">
        <v>493</v>
      </c>
      <c r="G84" s="25">
        <v>2.0338547956947011</v>
      </c>
      <c r="H84" s="25">
        <v>1.6582105263157896</v>
      </c>
      <c r="L84" s="11" t="s">
        <v>19</v>
      </c>
    </row>
    <row r="85" spans="2:12" ht="14.6" thickBot="1" x14ac:dyDescent="0.4"/>
    <row r="86" spans="2:12" x14ac:dyDescent="0.35">
      <c r="B86" s="20" t="s">
        <v>109</v>
      </c>
      <c r="C86" s="21" t="s">
        <v>110</v>
      </c>
      <c r="D86" s="21" t="s">
        <v>131</v>
      </c>
      <c r="E86" s="21" t="s">
        <v>132</v>
      </c>
      <c r="F86" s="21" t="s">
        <v>133</v>
      </c>
      <c r="G86" s="22">
        <v>5.9666666666666686</v>
      </c>
      <c r="H86" s="22">
        <v>4.5333333333333332</v>
      </c>
      <c r="I86" s="21" t="s">
        <v>127</v>
      </c>
      <c r="J86" s="22">
        <f>AVERAGE(G86,G87)</f>
        <v>3.6313333160451595</v>
      </c>
      <c r="K86" s="22">
        <f>AVERAGE(H86,H87)</f>
        <v>2.7774999999999999</v>
      </c>
      <c r="L86" s="86" t="s">
        <v>6</v>
      </c>
    </row>
    <row r="87" spans="2:12" x14ac:dyDescent="0.35">
      <c r="B87" s="24" t="s">
        <v>109</v>
      </c>
      <c r="C87" s="4" t="s">
        <v>110</v>
      </c>
      <c r="D87" s="4" t="s">
        <v>131</v>
      </c>
      <c r="E87" s="4" t="s">
        <v>132</v>
      </c>
      <c r="F87" s="4" t="s">
        <v>133</v>
      </c>
      <c r="G87" s="25">
        <v>1.2959999654236505</v>
      </c>
      <c r="H87" s="25">
        <v>1.0216666666666667</v>
      </c>
      <c r="I87" s="4" t="s">
        <v>16</v>
      </c>
      <c r="J87" s="25"/>
      <c r="K87" s="25"/>
      <c r="L87" s="27"/>
    </row>
    <row r="88" spans="2:12" x14ac:dyDescent="0.35">
      <c r="B88" s="24" t="s">
        <v>109</v>
      </c>
      <c r="C88" s="4" t="s">
        <v>110</v>
      </c>
      <c r="D88" s="4" t="s">
        <v>131</v>
      </c>
      <c r="E88" s="4" t="s">
        <v>132</v>
      </c>
      <c r="F88" s="4" t="s">
        <v>134</v>
      </c>
      <c r="G88" s="25">
        <v>5.7187362654953002</v>
      </c>
      <c r="H88" s="25">
        <v>-0.98345586736000001</v>
      </c>
      <c r="I88" s="4" t="s">
        <v>126</v>
      </c>
      <c r="J88" s="25">
        <f>AVERAGE(G88,G89,G90,G91,G92)</f>
        <v>4.3546197782668319</v>
      </c>
      <c r="K88" s="25">
        <f>AVERAGE(H88,H89,H91,H90,H92)</f>
        <v>0.81361631966933334</v>
      </c>
      <c r="L88" s="26" t="s">
        <v>19</v>
      </c>
    </row>
    <row r="89" spans="2:12" x14ac:dyDescent="0.35">
      <c r="B89" s="24" t="s">
        <v>109</v>
      </c>
      <c r="C89" s="4" t="s">
        <v>110</v>
      </c>
      <c r="D89" s="4" t="s">
        <v>131</v>
      </c>
      <c r="E89" s="4" t="s">
        <v>132</v>
      </c>
      <c r="F89" s="4" t="s">
        <v>134</v>
      </c>
      <c r="G89" s="25">
        <v>3.2580620575020021</v>
      </c>
      <c r="H89" s="25">
        <v>0.56118941519999987</v>
      </c>
      <c r="I89" s="4" t="s">
        <v>13</v>
      </c>
      <c r="J89" s="25"/>
      <c r="K89" s="25"/>
      <c r="L89" s="27"/>
    </row>
    <row r="90" spans="2:12" x14ac:dyDescent="0.35">
      <c r="B90" s="24" t="s">
        <v>109</v>
      </c>
      <c r="C90" s="4" t="s">
        <v>110</v>
      </c>
      <c r="D90" s="4" t="s">
        <v>131</v>
      </c>
      <c r="E90" s="4" t="s">
        <v>132</v>
      </c>
      <c r="F90" s="4" t="s">
        <v>134</v>
      </c>
      <c r="G90" s="25">
        <v>3.2920496082953337</v>
      </c>
      <c r="H90" s="25">
        <v>-1.226801949493334</v>
      </c>
      <c r="I90" s="4" t="s">
        <v>15</v>
      </c>
      <c r="J90" s="25"/>
      <c r="K90" s="25"/>
      <c r="L90" s="27"/>
    </row>
    <row r="91" spans="2:12" x14ac:dyDescent="0.35">
      <c r="B91" s="24" t="s">
        <v>109</v>
      </c>
      <c r="C91" s="4" t="s">
        <v>110</v>
      </c>
      <c r="D91" s="4" t="s">
        <v>131</v>
      </c>
      <c r="E91" s="4" t="s">
        <v>132</v>
      </c>
      <c r="F91" s="4" t="s">
        <v>134</v>
      </c>
      <c r="G91" s="25">
        <v>4.8580000000000005</v>
      </c>
      <c r="H91" s="25">
        <v>0.59340000000000037</v>
      </c>
      <c r="I91" s="4" t="s">
        <v>88</v>
      </c>
      <c r="J91" s="25"/>
      <c r="K91" s="25"/>
      <c r="L91" s="27"/>
    </row>
    <row r="92" spans="2:12" x14ac:dyDescent="0.35">
      <c r="B92" s="24" t="s">
        <v>109</v>
      </c>
      <c r="C92" s="4" t="s">
        <v>110</v>
      </c>
      <c r="D92" s="4" t="s">
        <v>131</v>
      </c>
      <c r="E92" s="4" t="s">
        <v>132</v>
      </c>
      <c r="F92" s="4" t="s">
        <v>134</v>
      </c>
      <c r="G92" s="25">
        <v>4.6462509600415203</v>
      </c>
      <c r="H92" s="25">
        <v>5.1237500000000002</v>
      </c>
      <c r="I92" s="4" t="s">
        <v>10</v>
      </c>
      <c r="J92" s="25"/>
      <c r="K92" s="25"/>
      <c r="L92" s="27"/>
    </row>
    <row r="93" spans="2:12" x14ac:dyDescent="0.35">
      <c r="B93" s="24" t="s">
        <v>109</v>
      </c>
      <c r="C93" s="4" t="s">
        <v>110</v>
      </c>
      <c r="D93" s="4" t="s">
        <v>131</v>
      </c>
      <c r="E93" s="4" t="s">
        <v>132</v>
      </c>
      <c r="F93" s="4" t="s">
        <v>135</v>
      </c>
      <c r="G93" s="25">
        <v>4.7262845407663354</v>
      </c>
      <c r="H93" s="25">
        <v>3.7298505924263163</v>
      </c>
      <c r="I93" s="4" t="s">
        <v>12</v>
      </c>
      <c r="J93" s="25">
        <v>4.7262845407663354</v>
      </c>
      <c r="K93" s="25">
        <v>3.7298505924263163</v>
      </c>
      <c r="L93" s="29" t="s">
        <v>6</v>
      </c>
    </row>
    <row r="94" spans="2:12" x14ac:dyDescent="0.35">
      <c r="B94" s="24" t="s">
        <v>109</v>
      </c>
      <c r="C94" s="4" t="s">
        <v>110</v>
      </c>
      <c r="D94" s="4" t="s">
        <v>131</v>
      </c>
      <c r="E94" s="4" t="s">
        <v>132</v>
      </c>
      <c r="F94" s="4" t="s">
        <v>136</v>
      </c>
      <c r="G94" s="25">
        <v>4.5525417248264439</v>
      </c>
      <c r="H94" s="25">
        <v>3.0288516982933333</v>
      </c>
      <c r="I94" s="4" t="s">
        <v>13</v>
      </c>
      <c r="J94" s="25">
        <f>AVERAGE(G94,G95,G96)</f>
        <v>4.7188816754181504</v>
      </c>
      <c r="K94" s="25">
        <f>AVERAGE(H94,H95,H96)</f>
        <v>2.1684888051555551</v>
      </c>
      <c r="L94" s="29" t="s">
        <v>6</v>
      </c>
    </row>
    <row r="95" spans="2:12" x14ac:dyDescent="0.35">
      <c r="B95" s="24" t="s">
        <v>109</v>
      </c>
      <c r="C95" s="4" t="s">
        <v>110</v>
      </c>
      <c r="D95" s="4" t="s">
        <v>131</v>
      </c>
      <c r="E95" s="4" t="s">
        <v>132</v>
      </c>
      <c r="F95" s="4" t="s">
        <v>136</v>
      </c>
      <c r="G95" s="25">
        <v>5.4480496082953334</v>
      </c>
      <c r="H95" s="25">
        <v>3.2281980505066659</v>
      </c>
      <c r="I95" s="4" t="s">
        <v>15</v>
      </c>
      <c r="J95" s="25"/>
      <c r="K95" s="25"/>
      <c r="L95" s="27"/>
    </row>
    <row r="96" spans="2:12" ht="14.6" thickBot="1" x14ac:dyDescent="0.4">
      <c r="B96" s="30" t="s">
        <v>109</v>
      </c>
      <c r="C96" s="31" t="s">
        <v>110</v>
      </c>
      <c r="D96" s="31" t="s">
        <v>131</v>
      </c>
      <c r="E96" s="31" t="s">
        <v>132</v>
      </c>
      <c r="F96" s="31" t="s">
        <v>136</v>
      </c>
      <c r="G96" s="32">
        <v>4.156053693132673</v>
      </c>
      <c r="H96" s="32">
        <v>0.24841666666666651</v>
      </c>
      <c r="I96" s="31" t="s">
        <v>10</v>
      </c>
      <c r="J96" s="32"/>
      <c r="K96" s="32"/>
      <c r="L96" s="40"/>
    </row>
    <row r="97" spans="2:12" x14ac:dyDescent="0.35">
      <c r="E97" s="2" t="s">
        <v>494</v>
      </c>
      <c r="G97" s="34">
        <f>AVERAGE(G86:G96)</f>
        <v>4.356245008222297</v>
      </c>
      <c r="H97" s="34">
        <f>AVERAGE(H86:H96)</f>
        <v>1.8053089642036044</v>
      </c>
      <c r="L97" s="12" t="s">
        <v>6</v>
      </c>
    </row>
    <row r="98" spans="2:12" ht="14.6" thickBot="1" x14ac:dyDescent="0.4"/>
    <row r="99" spans="2:12" s="4" customFormat="1" ht="14.6" thickBot="1" x14ac:dyDescent="0.4">
      <c r="B99" s="80" t="s">
        <v>109</v>
      </c>
      <c r="C99" s="81" t="s">
        <v>110</v>
      </c>
      <c r="D99" s="81" t="s">
        <v>114</v>
      </c>
      <c r="E99" s="81" t="s">
        <v>138</v>
      </c>
      <c r="F99" s="81" t="s">
        <v>139</v>
      </c>
      <c r="G99" s="82">
        <v>3.8666666666666707</v>
      </c>
      <c r="H99" s="82">
        <v>-1.2666666666666668</v>
      </c>
      <c r="I99" s="81" t="s">
        <v>140</v>
      </c>
      <c r="J99" s="82">
        <v>3.8666666666666707</v>
      </c>
      <c r="K99" s="82">
        <v>-1.2666666666666668</v>
      </c>
      <c r="L99" s="84" t="s">
        <v>19</v>
      </c>
    </row>
    <row r="100" spans="2:12" x14ac:dyDescent="0.35">
      <c r="E100" s="15" t="s">
        <v>495</v>
      </c>
      <c r="G100" s="25">
        <v>3.8666666666666707</v>
      </c>
      <c r="H100" s="25">
        <v>-1.2666666666666668</v>
      </c>
      <c r="L100" s="11" t="s">
        <v>19</v>
      </c>
    </row>
    <row r="101" spans="2:12" ht="14.6" thickBot="1" x14ac:dyDescent="0.4"/>
    <row r="102" spans="2:12" s="4" customFormat="1" x14ac:dyDescent="0.35">
      <c r="B102" s="20" t="s">
        <v>109</v>
      </c>
      <c r="C102" s="21" t="s">
        <v>110</v>
      </c>
      <c r="D102" s="21" t="s">
        <v>143</v>
      </c>
      <c r="E102" s="21" t="s">
        <v>142</v>
      </c>
      <c r="F102" s="21" t="s">
        <v>144</v>
      </c>
      <c r="G102" s="22">
        <v>3.6499999999999986</v>
      </c>
      <c r="H102" s="22">
        <v>-0.5</v>
      </c>
      <c r="I102" s="21" t="s">
        <v>22</v>
      </c>
      <c r="J102" s="22">
        <f>AVERAGE(G102,G103)</f>
        <v>2.2301573319999992</v>
      </c>
      <c r="K102" s="22">
        <f>AVERAGE(H102,H103)</f>
        <v>1.3828568966000001</v>
      </c>
      <c r="L102" s="91" t="s">
        <v>145</v>
      </c>
    </row>
    <row r="103" spans="2:12" s="4" customFormat="1" ht="14.6" thickBot="1" x14ac:dyDescent="0.4">
      <c r="B103" s="30" t="s">
        <v>109</v>
      </c>
      <c r="C103" s="31" t="s">
        <v>110</v>
      </c>
      <c r="D103" s="31" t="s">
        <v>143</v>
      </c>
      <c r="E103" s="31" t="s">
        <v>142</v>
      </c>
      <c r="F103" s="31" t="s">
        <v>144</v>
      </c>
      <c r="G103" s="32">
        <v>0.81031466399999985</v>
      </c>
      <c r="H103" s="32">
        <v>3.2657137932000002</v>
      </c>
      <c r="I103" s="31" t="s">
        <v>146</v>
      </c>
      <c r="J103" s="32"/>
      <c r="K103" s="32"/>
      <c r="L103" s="40"/>
    </row>
    <row r="104" spans="2:12" x14ac:dyDescent="0.35">
      <c r="E104" s="2" t="s">
        <v>496</v>
      </c>
      <c r="G104" s="34">
        <f>AVERAGE(G102:G103)</f>
        <v>2.2301573319999992</v>
      </c>
      <c r="H104" s="34">
        <f>AVERAGE(H102:H103)</f>
        <v>1.3828568966000001</v>
      </c>
      <c r="L104" s="16" t="s">
        <v>145</v>
      </c>
    </row>
    <row r="105" spans="2:12" ht="14.6" thickBot="1" x14ac:dyDescent="0.4"/>
    <row r="106" spans="2:12" s="4" customFormat="1" ht="14.6" thickBot="1" x14ac:dyDescent="0.4">
      <c r="B106" s="80" t="s">
        <v>109</v>
      </c>
      <c r="C106" s="81" t="s">
        <v>110</v>
      </c>
      <c r="D106" s="81" t="s">
        <v>143</v>
      </c>
      <c r="E106" s="81" t="s">
        <v>147</v>
      </c>
      <c r="F106" s="81" t="s">
        <v>148</v>
      </c>
      <c r="G106" s="82">
        <v>1.645560524000004</v>
      </c>
      <c r="H106" s="82">
        <v>3.7670982261999995</v>
      </c>
      <c r="I106" s="81" t="s">
        <v>146</v>
      </c>
      <c r="J106" s="82">
        <v>1.645560524000004</v>
      </c>
      <c r="K106" s="82">
        <v>3.7670982261999995</v>
      </c>
      <c r="L106" s="85" t="s">
        <v>6</v>
      </c>
    </row>
    <row r="107" spans="2:12" x14ac:dyDescent="0.35">
      <c r="E107" s="2" t="s">
        <v>497</v>
      </c>
      <c r="G107" s="25">
        <v>1.645560524000004</v>
      </c>
      <c r="H107" s="25">
        <v>3.7670982261999995</v>
      </c>
      <c r="L107" s="12" t="s">
        <v>6</v>
      </c>
    </row>
    <row r="108" spans="2:12" ht="14.6" thickBot="1" x14ac:dyDescent="0.4"/>
    <row r="109" spans="2:12" s="4" customFormat="1" ht="14.6" thickBot="1" x14ac:dyDescent="0.4">
      <c r="B109" s="80" t="s">
        <v>109</v>
      </c>
      <c r="C109" s="81" t="s">
        <v>110</v>
      </c>
      <c r="D109" s="81" t="s">
        <v>143</v>
      </c>
      <c r="E109" s="81" t="s">
        <v>149</v>
      </c>
      <c r="F109" s="81" t="s">
        <v>150</v>
      </c>
      <c r="G109" s="82">
        <v>4.2469412800000015</v>
      </c>
      <c r="H109" s="82">
        <v>0.87661666633333335</v>
      </c>
      <c r="I109" s="81" t="s">
        <v>30</v>
      </c>
      <c r="J109" s="82">
        <v>4.2469412800000015</v>
      </c>
      <c r="K109" s="82">
        <v>0.87661666633333335</v>
      </c>
      <c r="L109" s="84" t="s">
        <v>19</v>
      </c>
    </row>
    <row r="110" spans="2:12" x14ac:dyDescent="0.35">
      <c r="E110" s="2" t="s">
        <v>498</v>
      </c>
      <c r="G110" s="25">
        <v>4.2469412800000015</v>
      </c>
      <c r="H110" s="25">
        <v>0.87661666633333335</v>
      </c>
      <c r="L110" s="11" t="s">
        <v>19</v>
      </c>
    </row>
    <row r="111" spans="2:12" ht="14.6" thickBot="1" x14ac:dyDescent="0.4"/>
    <row r="112" spans="2:12" s="4" customFormat="1" ht="14.6" thickBot="1" x14ac:dyDescent="0.4">
      <c r="B112" s="80" t="s">
        <v>109</v>
      </c>
      <c r="C112" s="81" t="s">
        <v>110</v>
      </c>
      <c r="D112" s="81" t="s">
        <v>143</v>
      </c>
      <c r="E112" s="81" t="s">
        <v>151</v>
      </c>
      <c r="F112" s="81" t="s">
        <v>152</v>
      </c>
      <c r="G112" s="82">
        <v>4.823678718546665</v>
      </c>
      <c r="H112" s="82">
        <v>6.1064489419447332</v>
      </c>
      <c r="I112" s="81" t="s">
        <v>12</v>
      </c>
      <c r="J112" s="82">
        <v>4.823678718546665</v>
      </c>
      <c r="K112" s="82">
        <v>6.1064489419447332</v>
      </c>
      <c r="L112" s="83" t="s">
        <v>8</v>
      </c>
    </row>
    <row r="113" spans="2:12" x14ac:dyDescent="0.35">
      <c r="E113" s="2" t="s">
        <v>499</v>
      </c>
      <c r="G113" s="25">
        <v>4.823678718546665</v>
      </c>
      <c r="H113" s="25">
        <v>6.1064489419447332</v>
      </c>
      <c r="L113" s="10" t="s">
        <v>8</v>
      </c>
    </row>
    <row r="114" spans="2:12" ht="14.6" thickBot="1" x14ac:dyDescent="0.4"/>
    <row r="115" spans="2:12" s="4" customFormat="1" x14ac:dyDescent="0.35">
      <c r="B115" s="20" t="s">
        <v>109</v>
      </c>
      <c r="C115" s="21" t="s">
        <v>110</v>
      </c>
      <c r="D115" s="21" t="s">
        <v>157</v>
      </c>
      <c r="E115" s="21" t="s">
        <v>158</v>
      </c>
      <c r="F115" s="21" t="s">
        <v>159</v>
      </c>
      <c r="G115" s="22">
        <v>4.7544293410692013</v>
      </c>
      <c r="H115" s="22">
        <v>6.0140000000000002</v>
      </c>
      <c r="I115" s="21" t="s">
        <v>123</v>
      </c>
      <c r="J115" s="22">
        <v>4.5822932141038404</v>
      </c>
      <c r="K115" s="22">
        <v>4.9481858517012629</v>
      </c>
      <c r="L115" s="86" t="s">
        <v>6</v>
      </c>
    </row>
    <row r="116" spans="2:12" s="4" customFormat="1" ht="14.6" thickBot="1" x14ac:dyDescent="0.4">
      <c r="B116" s="30" t="s">
        <v>109</v>
      </c>
      <c r="C116" s="31" t="s">
        <v>110</v>
      </c>
      <c r="D116" s="31" t="s">
        <v>157</v>
      </c>
      <c r="E116" s="31" t="s">
        <v>158</v>
      </c>
      <c r="F116" s="31" t="s">
        <v>159</v>
      </c>
      <c r="G116" s="32">
        <v>4.4101570871384785</v>
      </c>
      <c r="H116" s="32">
        <v>3.8823717034025251</v>
      </c>
      <c r="I116" s="31" t="s">
        <v>12</v>
      </c>
      <c r="J116" s="32"/>
      <c r="K116" s="32"/>
      <c r="L116" s="40"/>
    </row>
    <row r="117" spans="2:12" x14ac:dyDescent="0.35">
      <c r="E117" s="2" t="s">
        <v>500</v>
      </c>
      <c r="G117" s="34">
        <f>AVERAGE(G115:G116)</f>
        <v>4.5822932141038404</v>
      </c>
      <c r="H117" s="34">
        <f>AVERAGE(H115:H116)</f>
        <v>4.9481858517012629</v>
      </c>
      <c r="L117" s="12" t="s">
        <v>6</v>
      </c>
    </row>
    <row r="118" spans="2:12" ht="14.6" thickBot="1" x14ac:dyDescent="0.4"/>
    <row r="119" spans="2:12" s="4" customFormat="1" x14ac:dyDescent="0.35">
      <c r="B119" s="20" t="s">
        <v>109</v>
      </c>
      <c r="C119" s="21" t="s">
        <v>110</v>
      </c>
      <c r="D119" s="21" t="s">
        <v>157</v>
      </c>
      <c r="E119" s="21" t="s">
        <v>160</v>
      </c>
      <c r="F119" s="21" t="s">
        <v>161</v>
      </c>
      <c r="G119" s="22">
        <v>4.3307951310353356</v>
      </c>
      <c r="H119" s="22">
        <v>4.7179623170685714</v>
      </c>
      <c r="I119" s="21" t="s">
        <v>12</v>
      </c>
      <c r="J119" s="22">
        <v>4.3307951310353356</v>
      </c>
      <c r="K119" s="22">
        <v>4.7179623170685714</v>
      </c>
      <c r="L119" s="86" t="s">
        <v>6</v>
      </c>
    </row>
    <row r="120" spans="2:12" s="4" customFormat="1" x14ac:dyDescent="0.35">
      <c r="B120" s="24" t="s">
        <v>109</v>
      </c>
      <c r="C120" s="4" t="s">
        <v>110</v>
      </c>
      <c r="D120" s="4" t="s">
        <v>157</v>
      </c>
      <c r="E120" s="4" t="s">
        <v>160</v>
      </c>
      <c r="F120" s="4" t="s">
        <v>162</v>
      </c>
      <c r="G120" s="25">
        <v>2.9230294531633523</v>
      </c>
      <c r="H120" s="25">
        <v>4.2663705756637258</v>
      </c>
      <c r="I120" s="4" t="s">
        <v>12</v>
      </c>
      <c r="J120" s="25">
        <v>2.9230294531633523</v>
      </c>
      <c r="K120" s="25">
        <v>4.2663705756637258</v>
      </c>
      <c r="L120" s="29" t="s">
        <v>6</v>
      </c>
    </row>
    <row r="121" spans="2:12" s="4" customFormat="1" ht="14.6" thickBot="1" x14ac:dyDescent="0.4">
      <c r="B121" s="30" t="s">
        <v>109</v>
      </c>
      <c r="C121" s="31" t="s">
        <v>110</v>
      </c>
      <c r="D121" s="31" t="s">
        <v>157</v>
      </c>
      <c r="E121" s="31" t="s">
        <v>160</v>
      </c>
      <c r="F121" s="31" t="s">
        <v>163</v>
      </c>
      <c r="G121" s="32">
        <v>4.3189984191083353</v>
      </c>
      <c r="H121" s="32">
        <v>6.4724821260000009</v>
      </c>
      <c r="I121" s="31" t="s">
        <v>12</v>
      </c>
      <c r="J121" s="32">
        <v>4.3189984191083353</v>
      </c>
      <c r="K121" s="32">
        <v>6.4724821260000009</v>
      </c>
      <c r="L121" s="92" t="s">
        <v>8</v>
      </c>
    </row>
    <row r="122" spans="2:12" x14ac:dyDescent="0.35">
      <c r="E122" s="2" t="s">
        <v>501</v>
      </c>
      <c r="G122" s="34">
        <f>AVERAGE(G119:G121)</f>
        <v>3.8576076677690074</v>
      </c>
      <c r="H122" s="34">
        <f>AVERAGE(H119:H121)</f>
        <v>5.152271672910766</v>
      </c>
      <c r="L122" s="10" t="s">
        <v>8</v>
      </c>
    </row>
    <row r="123" spans="2:12" ht="14.6" thickBot="1" x14ac:dyDescent="0.4"/>
    <row r="124" spans="2:12" s="4" customFormat="1" x14ac:dyDescent="0.35">
      <c r="B124" s="20" t="s">
        <v>109</v>
      </c>
      <c r="C124" s="21" t="s">
        <v>110</v>
      </c>
      <c r="D124" s="21" t="s">
        <v>165</v>
      </c>
      <c r="E124" s="21" t="s">
        <v>166</v>
      </c>
      <c r="F124" s="21" t="s">
        <v>167</v>
      </c>
      <c r="G124" s="22">
        <v>3.7986586920886687</v>
      </c>
      <c r="H124" s="22">
        <v>2.834749187531111</v>
      </c>
      <c r="I124" s="21" t="s">
        <v>13</v>
      </c>
      <c r="J124" s="22">
        <f>AVERAGE(G124,G125)</f>
        <v>4.397354150192001</v>
      </c>
      <c r="K124" s="22">
        <f>AVERAGE(H124,H125)</f>
        <v>2.7944736190188886</v>
      </c>
      <c r="L124" s="86" t="s">
        <v>6</v>
      </c>
    </row>
    <row r="125" spans="2:12" s="4" customFormat="1" x14ac:dyDescent="0.35">
      <c r="B125" s="24" t="s">
        <v>109</v>
      </c>
      <c r="C125" s="4" t="s">
        <v>110</v>
      </c>
      <c r="D125" s="4" t="s">
        <v>165</v>
      </c>
      <c r="E125" s="4" t="s">
        <v>166</v>
      </c>
      <c r="F125" s="4" t="s">
        <v>167</v>
      </c>
      <c r="G125" s="25">
        <v>4.9960496082953334</v>
      </c>
      <c r="H125" s="25">
        <v>2.7541980505066657</v>
      </c>
      <c r="I125" s="4" t="s">
        <v>15</v>
      </c>
      <c r="J125" s="25"/>
      <c r="K125" s="25"/>
      <c r="L125" s="27"/>
    </row>
    <row r="126" spans="2:12" s="4" customFormat="1" x14ac:dyDescent="0.35">
      <c r="B126" s="24" t="s">
        <v>109</v>
      </c>
      <c r="C126" s="4" t="s">
        <v>110</v>
      </c>
      <c r="D126" s="4" t="s">
        <v>165</v>
      </c>
      <c r="E126" s="4" t="s">
        <v>166</v>
      </c>
      <c r="F126" s="4" t="s">
        <v>168</v>
      </c>
      <c r="G126" s="25">
        <v>4.6901367330246266</v>
      </c>
      <c r="H126" s="25">
        <v>3.576169061111111</v>
      </c>
      <c r="I126" s="4" t="s">
        <v>94</v>
      </c>
      <c r="J126" s="25">
        <f>AVERAGE(G126,G127,G128,G129)</f>
        <v>6.2936465853299897</v>
      </c>
      <c r="K126" s="25">
        <f>AVERAGE(H126,H127,H128,H129)</f>
        <v>3.4792917779044448</v>
      </c>
      <c r="L126" s="29" t="s">
        <v>6</v>
      </c>
    </row>
    <row r="127" spans="2:12" s="4" customFormat="1" x14ac:dyDescent="0.35">
      <c r="B127" s="24" t="s">
        <v>109</v>
      </c>
      <c r="C127" s="4" t="s">
        <v>110</v>
      </c>
      <c r="D127" s="4" t="s">
        <v>165</v>
      </c>
      <c r="E127" s="4" t="s">
        <v>166</v>
      </c>
      <c r="F127" s="4" t="s">
        <v>168</v>
      </c>
      <c r="G127" s="25">
        <v>5.6330496082953339</v>
      </c>
      <c r="H127" s="25">
        <v>1.6731980505066661</v>
      </c>
      <c r="I127" s="4" t="s">
        <v>15</v>
      </c>
      <c r="J127" s="25"/>
      <c r="K127" s="25"/>
      <c r="L127" s="27"/>
    </row>
    <row r="128" spans="2:12" s="4" customFormat="1" x14ac:dyDescent="0.35">
      <c r="B128" s="24" t="s">
        <v>109</v>
      </c>
      <c r="C128" s="4" t="s">
        <v>110</v>
      </c>
      <c r="D128" s="4" t="s">
        <v>165</v>
      </c>
      <c r="E128" s="4" t="s">
        <v>166</v>
      </c>
      <c r="F128" s="4" t="s">
        <v>168</v>
      </c>
      <c r="G128" s="25">
        <v>7.5877999999999979</v>
      </c>
      <c r="H128" s="25">
        <v>4.3871000000000002</v>
      </c>
      <c r="I128" s="4" t="s">
        <v>87</v>
      </c>
      <c r="J128" s="25"/>
      <c r="K128" s="25"/>
      <c r="L128" s="27"/>
    </row>
    <row r="129" spans="2:12" s="4" customFormat="1" x14ac:dyDescent="0.35">
      <c r="B129" s="24" t="s">
        <v>109</v>
      </c>
      <c r="C129" s="4" t="s">
        <v>110</v>
      </c>
      <c r="D129" s="4" t="s">
        <v>165</v>
      </c>
      <c r="E129" s="4" t="s">
        <v>166</v>
      </c>
      <c r="F129" s="4" t="s">
        <v>168</v>
      </c>
      <c r="G129" s="25">
        <v>7.2636000000000003</v>
      </c>
      <c r="H129" s="25">
        <v>4.2807000000000004</v>
      </c>
      <c r="I129" s="4" t="s">
        <v>88</v>
      </c>
      <c r="J129" s="25"/>
      <c r="K129" s="25"/>
      <c r="L129" s="27"/>
    </row>
    <row r="130" spans="2:12" s="4" customFormat="1" ht="14.6" thickBot="1" x14ac:dyDescent="0.4">
      <c r="B130" s="30" t="s">
        <v>109</v>
      </c>
      <c r="C130" s="31" t="s">
        <v>110</v>
      </c>
      <c r="D130" s="31" t="s">
        <v>165</v>
      </c>
      <c r="E130" s="31" t="s">
        <v>166</v>
      </c>
      <c r="F130" s="31" t="s">
        <v>169</v>
      </c>
      <c r="G130" s="32">
        <v>4.7632269928790283</v>
      </c>
      <c r="H130" s="32">
        <v>3.9919413448581578</v>
      </c>
      <c r="I130" s="31" t="s">
        <v>12</v>
      </c>
      <c r="J130" s="32">
        <v>4.7632269928790283</v>
      </c>
      <c r="K130" s="32">
        <v>3.9919413448581578</v>
      </c>
      <c r="L130" s="78" t="s">
        <v>6</v>
      </c>
    </row>
    <row r="131" spans="2:12" x14ac:dyDescent="0.35">
      <c r="E131" s="2" t="s">
        <v>502</v>
      </c>
      <c r="G131" s="34">
        <f>AVERAGE(G124:G130)</f>
        <v>5.5332173763689978</v>
      </c>
      <c r="H131" s="34">
        <f>AVERAGE(H124:H130)</f>
        <v>3.3568650992162445</v>
      </c>
      <c r="L131" s="12" t="s">
        <v>6</v>
      </c>
    </row>
    <row r="132" spans="2:12" ht="14.6" thickBot="1" x14ac:dyDescent="0.4"/>
    <row r="133" spans="2:12" s="4" customFormat="1" x14ac:dyDescent="0.35">
      <c r="B133" s="20" t="s">
        <v>109</v>
      </c>
      <c r="C133" s="21" t="s">
        <v>174</v>
      </c>
      <c r="D133" s="21" t="s">
        <v>177</v>
      </c>
      <c r="E133" s="21" t="s">
        <v>178</v>
      </c>
      <c r="F133" s="21" t="s">
        <v>179</v>
      </c>
      <c r="G133" s="22">
        <v>4.5330211355159484</v>
      </c>
      <c r="H133" s="22">
        <v>-1.5515000000000003</v>
      </c>
      <c r="I133" s="21" t="s">
        <v>86</v>
      </c>
      <c r="J133" s="22">
        <f>AVERAGE(G133,G134,G135,G136)</f>
        <v>3.7682823183575702</v>
      </c>
      <c r="K133" s="22">
        <f>AVERAGE(H133,H134,H135,H136)</f>
        <v>-1.1106443223691138</v>
      </c>
      <c r="L133" s="35" t="s">
        <v>19</v>
      </c>
    </row>
    <row r="134" spans="2:12" s="4" customFormat="1" x14ac:dyDescent="0.35">
      <c r="B134" s="24" t="s">
        <v>109</v>
      </c>
      <c r="C134" s="4" t="s">
        <v>174</v>
      </c>
      <c r="D134" s="4" t="s">
        <v>177</v>
      </c>
      <c r="E134" s="4" t="s">
        <v>178</v>
      </c>
      <c r="F134" s="4" t="s">
        <v>179</v>
      </c>
      <c r="G134" s="25">
        <v>5.8432695948553039</v>
      </c>
      <c r="H134" s="25">
        <v>-0.9040283928933337</v>
      </c>
      <c r="I134" s="4" t="s">
        <v>180</v>
      </c>
      <c r="J134" s="25"/>
      <c r="K134" s="25"/>
      <c r="L134" s="27"/>
    </row>
    <row r="135" spans="2:12" s="4" customFormat="1" x14ac:dyDescent="0.35">
      <c r="B135" s="24" t="s">
        <v>109</v>
      </c>
      <c r="C135" s="4" t="s">
        <v>174</v>
      </c>
      <c r="D135" s="4" t="s">
        <v>177</v>
      </c>
      <c r="E135" s="4" t="s">
        <v>178</v>
      </c>
      <c r="F135" s="4" t="s">
        <v>179</v>
      </c>
      <c r="G135" s="25">
        <v>2.4807889347636944</v>
      </c>
      <c r="H135" s="25">
        <v>0.97675305291021264</v>
      </c>
      <c r="I135" s="4" t="s">
        <v>14</v>
      </c>
      <c r="J135" s="25"/>
      <c r="K135" s="25"/>
      <c r="L135" s="27"/>
    </row>
    <row r="136" spans="2:12" s="4" customFormat="1" x14ac:dyDescent="0.35">
      <c r="B136" s="24" t="s">
        <v>109</v>
      </c>
      <c r="C136" s="4" t="s">
        <v>174</v>
      </c>
      <c r="D136" s="4" t="s">
        <v>177</v>
      </c>
      <c r="E136" s="4" t="s">
        <v>178</v>
      </c>
      <c r="F136" s="4" t="s">
        <v>179</v>
      </c>
      <c r="G136" s="25">
        <v>2.2160496082953336</v>
      </c>
      <c r="H136" s="25">
        <v>-2.9638019494933339</v>
      </c>
      <c r="I136" s="4" t="s">
        <v>15</v>
      </c>
      <c r="J136" s="25"/>
      <c r="K136" s="25"/>
      <c r="L136" s="27"/>
    </row>
    <row r="137" spans="2:12" s="4" customFormat="1" x14ac:dyDescent="0.35">
      <c r="B137" s="24" t="s">
        <v>109</v>
      </c>
      <c r="C137" s="4" t="s">
        <v>174</v>
      </c>
      <c r="D137" s="4" t="s">
        <v>177</v>
      </c>
      <c r="E137" s="4" t="s">
        <v>178</v>
      </c>
      <c r="F137" s="4" t="s">
        <v>181</v>
      </c>
      <c r="G137" s="25">
        <v>7.6366970508120033</v>
      </c>
      <c r="H137" s="25">
        <v>1.2948372000001207E-3</v>
      </c>
      <c r="I137" s="4" t="s">
        <v>182</v>
      </c>
      <c r="J137" s="25">
        <v>7.6366970508120033</v>
      </c>
      <c r="K137" s="25">
        <v>1.2948372000001207E-3</v>
      </c>
      <c r="L137" s="93" t="s">
        <v>183</v>
      </c>
    </row>
    <row r="138" spans="2:12" s="4" customFormat="1" x14ac:dyDescent="0.35">
      <c r="B138" s="24" t="s">
        <v>109</v>
      </c>
      <c r="C138" s="4" t="s">
        <v>174</v>
      </c>
      <c r="D138" s="4" t="s">
        <v>177</v>
      </c>
      <c r="E138" s="4" t="s">
        <v>178</v>
      </c>
      <c r="F138" s="4" t="s">
        <v>184</v>
      </c>
      <c r="G138" s="25">
        <v>3.2333095734553332</v>
      </c>
      <c r="H138" s="25">
        <v>-2.5718206127466661</v>
      </c>
      <c r="I138" s="4" t="s">
        <v>13</v>
      </c>
      <c r="J138" s="25">
        <f>AVERAGE(G139,G138)</f>
        <v>4.1436761671116802</v>
      </c>
      <c r="K138" s="25">
        <f>AVERAGE(H138,H139)</f>
        <v>-0.25757697303999971</v>
      </c>
      <c r="L138" s="26" t="s">
        <v>19</v>
      </c>
    </row>
    <row r="139" spans="2:12" s="4" customFormat="1" ht="14.6" thickBot="1" x14ac:dyDescent="0.4">
      <c r="B139" s="30" t="s">
        <v>109</v>
      </c>
      <c r="C139" s="31" t="s">
        <v>453</v>
      </c>
      <c r="D139" s="31" t="s">
        <v>177</v>
      </c>
      <c r="E139" s="31" t="s">
        <v>178</v>
      </c>
      <c r="F139" s="31" t="s">
        <v>184</v>
      </c>
      <c r="G139" s="32">
        <v>5.0540427607680272</v>
      </c>
      <c r="H139" s="32">
        <v>2.0566666666666666</v>
      </c>
      <c r="I139" s="31" t="s">
        <v>10</v>
      </c>
      <c r="J139" s="32"/>
      <c r="K139" s="32"/>
      <c r="L139" s="40"/>
    </row>
    <row r="140" spans="2:12" x14ac:dyDescent="0.35">
      <c r="E140" s="2" t="s">
        <v>503</v>
      </c>
      <c r="G140" s="34">
        <f>AVERAGE(G133:G139)</f>
        <v>4.4281683797808062</v>
      </c>
      <c r="H140" s="34">
        <f>AVERAGE(H133:H139)</f>
        <v>-0.70806234262235079</v>
      </c>
      <c r="L140" s="11" t="s">
        <v>19</v>
      </c>
    </row>
    <row r="141" spans="2:12" ht="14.6" thickBot="1" x14ac:dyDescent="0.4"/>
    <row r="142" spans="2:12" s="4" customFormat="1" x14ac:dyDescent="0.35">
      <c r="B142" s="20" t="s">
        <v>185</v>
      </c>
      <c r="C142" s="21" t="s">
        <v>186</v>
      </c>
      <c r="D142" s="21" t="s">
        <v>187</v>
      </c>
      <c r="E142" s="21" t="s">
        <v>188</v>
      </c>
      <c r="F142" s="21" t="s">
        <v>189</v>
      </c>
      <c r="G142" s="22">
        <v>4.0876700663579584</v>
      </c>
      <c r="H142" s="22">
        <v>1.9098357277777778</v>
      </c>
      <c r="I142" s="21" t="s">
        <v>94</v>
      </c>
      <c r="J142" s="22">
        <v>4.0876700663579584</v>
      </c>
      <c r="K142" s="22">
        <v>1.9098357277777778</v>
      </c>
      <c r="L142" s="86" t="s">
        <v>6</v>
      </c>
    </row>
    <row r="143" spans="2:12" s="4" customFormat="1" ht="14.6" thickBot="1" x14ac:dyDescent="0.4">
      <c r="B143" s="30" t="s">
        <v>185</v>
      </c>
      <c r="C143" s="31" t="s">
        <v>186</v>
      </c>
      <c r="D143" s="31" t="s">
        <v>187</v>
      </c>
      <c r="E143" s="31" t="s">
        <v>188</v>
      </c>
      <c r="F143" s="94" t="s">
        <v>190</v>
      </c>
      <c r="G143" s="32">
        <v>2.8039285010410033</v>
      </c>
      <c r="H143" s="32">
        <v>-0.51314285714285723</v>
      </c>
      <c r="I143" s="31" t="s">
        <v>16</v>
      </c>
      <c r="J143" s="32">
        <v>2.8039285010410033</v>
      </c>
      <c r="K143" s="32">
        <v>-0.51314285714285723</v>
      </c>
      <c r="L143" s="33" t="s">
        <v>19</v>
      </c>
    </row>
    <row r="144" spans="2:12" x14ac:dyDescent="0.35">
      <c r="E144" s="2" t="s">
        <v>504</v>
      </c>
      <c r="G144" s="34">
        <f>AVERAGE(G142:G143)</f>
        <v>3.4457992836994809</v>
      </c>
      <c r="H144" s="34">
        <f>AVERAGE(H142:H143)</f>
        <v>0.69834643531746021</v>
      </c>
      <c r="L144" s="11" t="s">
        <v>19</v>
      </c>
    </row>
    <row r="145" spans="2:12" ht="14.6" thickBot="1" x14ac:dyDescent="0.4"/>
    <row r="146" spans="2:12" s="4" customFormat="1" ht="16.75" x14ac:dyDescent="0.5">
      <c r="B146" s="20" t="s">
        <v>185</v>
      </c>
      <c r="C146" s="21" t="s">
        <v>195</v>
      </c>
      <c r="D146" s="21" t="s">
        <v>198</v>
      </c>
      <c r="E146" s="21" t="s">
        <v>199</v>
      </c>
      <c r="F146" s="21" t="s">
        <v>200</v>
      </c>
      <c r="G146" s="22">
        <v>6.5208367330246269</v>
      </c>
      <c r="H146" s="22">
        <v>3.0170690611111111</v>
      </c>
      <c r="I146" s="21" t="s">
        <v>94</v>
      </c>
      <c r="J146" s="22">
        <f>AVERAGE(G146,G147)</f>
        <v>7.8369683665123127</v>
      </c>
      <c r="K146" s="22">
        <f>AVERAGE(H146,H147)</f>
        <v>4.9309345305555556</v>
      </c>
      <c r="L146" s="95" t="s">
        <v>604</v>
      </c>
    </row>
    <row r="147" spans="2:12" s="4" customFormat="1" x14ac:dyDescent="0.35">
      <c r="B147" s="24" t="s">
        <v>185</v>
      </c>
      <c r="C147" s="4" t="s">
        <v>195</v>
      </c>
      <c r="D147" s="4" t="s">
        <v>198</v>
      </c>
      <c r="E147" s="4" t="s">
        <v>199</v>
      </c>
      <c r="F147" s="4" t="s">
        <v>200</v>
      </c>
      <c r="G147" s="25">
        <v>9.1530999999999985</v>
      </c>
      <c r="H147" s="25">
        <v>6.8448000000000002</v>
      </c>
      <c r="I147" s="4" t="s">
        <v>87</v>
      </c>
      <c r="J147" s="25"/>
      <c r="K147" s="25"/>
      <c r="L147" s="27"/>
    </row>
    <row r="148" spans="2:12" s="4" customFormat="1" x14ac:dyDescent="0.35">
      <c r="B148" s="24" t="s">
        <v>185</v>
      </c>
      <c r="C148" s="4" t="s">
        <v>195</v>
      </c>
      <c r="D148" s="4" t="s">
        <v>198</v>
      </c>
      <c r="E148" s="4" t="s">
        <v>199</v>
      </c>
      <c r="F148" s="4" t="s">
        <v>201</v>
      </c>
      <c r="G148" s="25">
        <v>4.6662947408931359</v>
      </c>
      <c r="H148" s="25">
        <v>2.8554579499999999</v>
      </c>
      <c r="I148" s="4" t="s">
        <v>94</v>
      </c>
      <c r="J148" s="25">
        <f>AVERAGE(G148,G149,G150,G151)</f>
        <v>4.4924749427804134</v>
      </c>
      <c r="K148" s="25">
        <f>AVERAGE(H148,H149,H150,H151)</f>
        <v>3.3562255645302823</v>
      </c>
      <c r="L148" s="29" t="s">
        <v>6</v>
      </c>
    </row>
    <row r="149" spans="2:12" s="4" customFormat="1" x14ac:dyDescent="0.35">
      <c r="B149" s="24" t="s">
        <v>185</v>
      </c>
      <c r="C149" s="4" t="s">
        <v>195</v>
      </c>
      <c r="D149" s="4" t="s">
        <v>198</v>
      </c>
      <c r="E149" s="4" t="s">
        <v>199</v>
      </c>
      <c r="F149" s="4" t="s">
        <v>201</v>
      </c>
      <c r="G149" s="25">
        <v>4.0841132645991784</v>
      </c>
      <c r="H149" s="25">
        <v>3.6044818464544619</v>
      </c>
      <c r="I149" s="4" t="s">
        <v>14</v>
      </c>
      <c r="J149" s="25"/>
      <c r="K149" s="25"/>
      <c r="L149" s="27"/>
    </row>
    <row r="150" spans="2:12" s="4" customFormat="1" x14ac:dyDescent="0.35">
      <c r="B150" s="24" t="s">
        <v>185</v>
      </c>
      <c r="C150" s="4" t="s">
        <v>195</v>
      </c>
      <c r="D150" s="4" t="s">
        <v>198</v>
      </c>
      <c r="E150" s="4" t="s">
        <v>199</v>
      </c>
      <c r="F150" s="4" t="s">
        <v>201</v>
      </c>
      <c r="G150" s="25">
        <v>4.5531970247362032</v>
      </c>
      <c r="H150" s="25">
        <v>4.0694166666666671</v>
      </c>
      <c r="I150" s="4" t="s">
        <v>10</v>
      </c>
      <c r="J150" s="25"/>
      <c r="K150" s="25"/>
      <c r="L150" s="27"/>
    </row>
    <row r="151" spans="2:12" s="4" customFormat="1" x14ac:dyDescent="0.35">
      <c r="B151" s="24" t="s">
        <v>185</v>
      </c>
      <c r="C151" s="4" t="s">
        <v>195</v>
      </c>
      <c r="D151" s="4" t="s">
        <v>198</v>
      </c>
      <c r="E151" s="4" t="s">
        <v>199</v>
      </c>
      <c r="F151" s="4" t="s">
        <v>201</v>
      </c>
      <c r="G151" s="25">
        <v>4.6662947408931359</v>
      </c>
      <c r="H151" s="25">
        <v>2.8955457950000003</v>
      </c>
      <c r="I151" s="4" t="s">
        <v>202</v>
      </c>
      <c r="J151" s="25"/>
      <c r="K151" s="25"/>
      <c r="L151" s="27"/>
    </row>
    <row r="152" spans="2:12" s="4" customFormat="1" x14ac:dyDescent="0.35">
      <c r="B152" s="24" t="s">
        <v>185</v>
      </c>
      <c r="C152" s="4" t="s">
        <v>195</v>
      </c>
      <c r="D152" s="4" t="s">
        <v>198</v>
      </c>
      <c r="E152" s="4" t="s">
        <v>199</v>
      </c>
      <c r="F152" s="4" t="s">
        <v>203</v>
      </c>
      <c r="G152" s="25">
        <v>4.3325243918670182</v>
      </c>
      <c r="H152" s="25">
        <v>2.7224864396570392</v>
      </c>
      <c r="I152" s="4" t="s">
        <v>96</v>
      </c>
      <c r="J152" s="25">
        <v>4.3325243918670182</v>
      </c>
      <c r="K152" s="25">
        <v>2.7224864396570392</v>
      </c>
      <c r="L152" s="29" t="s">
        <v>6</v>
      </c>
    </row>
    <row r="153" spans="2:12" s="4" customFormat="1" ht="16.75" x14ac:dyDescent="0.5">
      <c r="B153" s="24" t="s">
        <v>185</v>
      </c>
      <c r="C153" s="4" t="s">
        <v>195</v>
      </c>
      <c r="D153" s="4" t="s">
        <v>198</v>
      </c>
      <c r="E153" s="4" t="s">
        <v>199</v>
      </c>
      <c r="F153" s="4" t="s">
        <v>204</v>
      </c>
      <c r="G153" s="25">
        <v>8.5398067507219633</v>
      </c>
      <c r="H153" s="25">
        <v>4.8387628403733327</v>
      </c>
      <c r="I153" s="4" t="s">
        <v>126</v>
      </c>
      <c r="J153" s="25">
        <v>8.5398067507219633</v>
      </c>
      <c r="K153" s="25">
        <v>4.8387628403733327</v>
      </c>
      <c r="L153" s="36" t="s">
        <v>604</v>
      </c>
    </row>
    <row r="154" spans="2:12" s="4" customFormat="1" x14ac:dyDescent="0.35">
      <c r="B154" s="24" t="s">
        <v>185</v>
      </c>
      <c r="C154" s="4" t="s">
        <v>195</v>
      </c>
      <c r="D154" s="4" t="s">
        <v>198</v>
      </c>
      <c r="E154" s="4" t="s">
        <v>199</v>
      </c>
      <c r="F154" s="4" t="s">
        <v>205</v>
      </c>
      <c r="G154" s="25">
        <v>3.4443367330246275</v>
      </c>
      <c r="H154" s="25">
        <v>1.3591246166666666</v>
      </c>
      <c r="I154" s="4" t="s">
        <v>94</v>
      </c>
      <c r="J154" s="25">
        <v>3.4443367330246275</v>
      </c>
      <c r="K154" s="25">
        <v>1.3591246166666666</v>
      </c>
      <c r="L154" s="26" t="s">
        <v>19</v>
      </c>
    </row>
    <row r="155" spans="2:12" s="4" customFormat="1" x14ac:dyDescent="0.35">
      <c r="B155" s="24" t="s">
        <v>185</v>
      </c>
      <c r="C155" s="4" t="s">
        <v>195</v>
      </c>
      <c r="D155" s="4" t="s">
        <v>198</v>
      </c>
      <c r="E155" s="4" t="s">
        <v>199</v>
      </c>
      <c r="F155" s="4" t="s">
        <v>206</v>
      </c>
      <c r="G155" s="25">
        <v>7.8288620165219616</v>
      </c>
      <c r="H155" s="25">
        <v>4.5478399776266665</v>
      </c>
      <c r="I155" s="4" t="s">
        <v>126</v>
      </c>
      <c r="J155" s="25">
        <f>AVERAGE(G155,G156)</f>
        <v>6.1911636843264803</v>
      </c>
      <c r="K155" s="25">
        <f>AVERAGE(H155,H156)</f>
        <v>3.8724195756193174</v>
      </c>
      <c r="L155" s="29" t="s">
        <v>6</v>
      </c>
    </row>
    <row r="156" spans="2:12" s="4" customFormat="1" x14ac:dyDescent="0.35">
      <c r="B156" s="24" t="s">
        <v>185</v>
      </c>
      <c r="C156" s="4" t="s">
        <v>195</v>
      </c>
      <c r="D156" s="4" t="s">
        <v>198</v>
      </c>
      <c r="E156" s="4" t="s">
        <v>199</v>
      </c>
      <c r="F156" s="4" t="s">
        <v>206</v>
      </c>
      <c r="G156" s="25">
        <v>4.5534653521309991</v>
      </c>
      <c r="H156" s="25">
        <v>3.1969991736119683</v>
      </c>
      <c r="I156" s="4" t="s">
        <v>14</v>
      </c>
      <c r="J156" s="25"/>
      <c r="K156" s="25"/>
      <c r="L156" s="27"/>
    </row>
    <row r="157" spans="2:12" s="4" customFormat="1" ht="14.6" thickBot="1" x14ac:dyDescent="0.4">
      <c r="B157" s="30" t="s">
        <v>185</v>
      </c>
      <c r="C157" s="31" t="s">
        <v>195</v>
      </c>
      <c r="D157" s="31" t="s">
        <v>198</v>
      </c>
      <c r="E157" s="31" t="s">
        <v>199</v>
      </c>
      <c r="F157" s="31" t="s">
        <v>207</v>
      </c>
      <c r="G157" s="32">
        <v>3.0090666666666657</v>
      </c>
      <c r="H157" s="32">
        <v>2.7344166666666672</v>
      </c>
      <c r="I157" s="31" t="s">
        <v>10</v>
      </c>
      <c r="J157" s="32">
        <v>3.0090666666666657</v>
      </c>
      <c r="K157" s="32">
        <v>2.7344166666666672</v>
      </c>
      <c r="L157" s="78" t="s">
        <v>6</v>
      </c>
    </row>
    <row r="158" spans="2:12" x14ac:dyDescent="0.35">
      <c r="E158" s="2" t="s">
        <v>505</v>
      </c>
      <c r="G158" s="34">
        <f>AVERAGE(G146:G157)</f>
        <v>5.4459915345899601</v>
      </c>
      <c r="H158" s="34">
        <f>AVERAGE(H146:H157)</f>
        <v>3.5572000861528821</v>
      </c>
      <c r="L158" s="12" t="s">
        <v>6</v>
      </c>
    </row>
    <row r="159" spans="2:12" ht="14.6" thickBot="1" x14ac:dyDescent="0.4"/>
    <row r="160" spans="2:12" s="4" customFormat="1" ht="14.6" thickBot="1" x14ac:dyDescent="0.4">
      <c r="B160" s="80" t="s">
        <v>185</v>
      </c>
      <c r="C160" s="81" t="s">
        <v>219</v>
      </c>
      <c r="D160" s="81" t="s">
        <v>223</v>
      </c>
      <c r="E160" s="81" t="s">
        <v>222</v>
      </c>
      <c r="F160" s="81" t="s">
        <v>224</v>
      </c>
      <c r="G160" s="82">
        <v>4.2776400599999995</v>
      </c>
      <c r="H160" s="82">
        <v>3.1631447366000001</v>
      </c>
      <c r="I160" s="81" t="s">
        <v>30</v>
      </c>
      <c r="J160" s="82">
        <v>4.2776400599999995</v>
      </c>
      <c r="K160" s="82">
        <v>3.1631447366000001</v>
      </c>
      <c r="L160" s="85" t="s">
        <v>6</v>
      </c>
    </row>
    <row r="161" spans="2:12" x14ac:dyDescent="0.35">
      <c r="E161" s="2" t="s">
        <v>506</v>
      </c>
      <c r="G161" s="25">
        <v>4.2776400599999995</v>
      </c>
      <c r="H161" s="25">
        <v>3.1631447366000001</v>
      </c>
      <c r="L161" s="12" t="s">
        <v>6</v>
      </c>
    </row>
    <row r="162" spans="2:12" ht="14.6" thickBot="1" x14ac:dyDescent="0.4"/>
    <row r="163" spans="2:12" s="4" customFormat="1" ht="14.6" thickBot="1" x14ac:dyDescent="0.4">
      <c r="B163" s="80" t="s">
        <v>185</v>
      </c>
      <c r="C163" s="81" t="s">
        <v>219</v>
      </c>
      <c r="D163" s="81" t="s">
        <v>227</v>
      </c>
      <c r="E163" s="81" t="s">
        <v>225</v>
      </c>
      <c r="F163" s="81" t="s">
        <v>228</v>
      </c>
      <c r="G163" s="82">
        <v>4.6265146600000016</v>
      </c>
      <c r="H163" s="82">
        <v>4.1342833329999999</v>
      </c>
      <c r="I163" s="81" t="s">
        <v>30</v>
      </c>
      <c r="J163" s="82">
        <v>4.6265146600000016</v>
      </c>
      <c r="K163" s="82">
        <v>4.1342833329999999</v>
      </c>
      <c r="L163" s="85" t="s">
        <v>6</v>
      </c>
    </row>
    <row r="164" spans="2:12" x14ac:dyDescent="0.35">
      <c r="E164" s="2" t="s">
        <v>507</v>
      </c>
      <c r="G164" s="25">
        <v>4.6265146600000016</v>
      </c>
      <c r="H164" s="25">
        <v>4.1342833329999999</v>
      </c>
      <c r="L164" s="12" t="s">
        <v>6</v>
      </c>
    </row>
    <row r="165" spans="2:12" ht="14.6" thickBot="1" x14ac:dyDescent="0.4">
      <c r="G165" s="25"/>
      <c r="H165" s="25"/>
      <c r="L165" s="4"/>
    </row>
    <row r="166" spans="2:12" s="4" customFormat="1" ht="14.6" thickBot="1" x14ac:dyDescent="0.4">
      <c r="B166" s="80" t="s">
        <v>185</v>
      </c>
      <c r="C166" s="81" t="s">
        <v>268</v>
      </c>
      <c r="D166" s="81" t="s">
        <v>271</v>
      </c>
      <c r="E166" s="81" t="s">
        <v>272</v>
      </c>
      <c r="F166" s="81" t="s">
        <v>273</v>
      </c>
      <c r="G166" s="82">
        <v>4.9145867330246311</v>
      </c>
      <c r="H166" s="82">
        <v>2.3186940611111115</v>
      </c>
      <c r="I166" s="81" t="s">
        <v>94</v>
      </c>
      <c r="J166" s="82">
        <v>4.9145867330246311</v>
      </c>
      <c r="K166" s="82">
        <v>2.3186940611111115</v>
      </c>
      <c r="L166" s="85" t="s">
        <v>6</v>
      </c>
    </row>
    <row r="167" spans="2:12" x14ac:dyDescent="0.35">
      <c r="E167" s="2" t="s">
        <v>508</v>
      </c>
      <c r="G167" s="25">
        <v>4.9145867330246311</v>
      </c>
      <c r="H167" s="25">
        <v>2.3186940611111115</v>
      </c>
      <c r="L167" s="12" t="s">
        <v>6</v>
      </c>
    </row>
    <row r="168" spans="2:12" ht="14.6" thickBot="1" x14ac:dyDescent="0.4">
      <c r="G168" s="25"/>
      <c r="H168" s="25"/>
      <c r="L168" s="4"/>
    </row>
    <row r="169" spans="2:12" s="4" customFormat="1" x14ac:dyDescent="0.35">
      <c r="B169" s="20" t="s">
        <v>185</v>
      </c>
      <c r="C169" s="21" t="s">
        <v>229</v>
      </c>
      <c r="D169" s="21" t="s">
        <v>230</v>
      </c>
      <c r="E169" s="21" t="s">
        <v>231</v>
      </c>
      <c r="F169" s="21" t="s">
        <v>232</v>
      </c>
      <c r="G169" s="22">
        <v>4.6983257591015857</v>
      </c>
      <c r="H169" s="22">
        <v>1.7180938515246522</v>
      </c>
      <c r="I169" s="21" t="s">
        <v>96</v>
      </c>
      <c r="J169" s="22">
        <f>AVERAGE(G169,G170,G171,G172,G173,G174)</f>
        <v>6.2348810586149952</v>
      </c>
      <c r="K169" s="22">
        <f>AVERAGE(H169,H170,H171,H172,H173,H174)</f>
        <v>0.62996263095410854</v>
      </c>
      <c r="L169" s="35" t="s">
        <v>19</v>
      </c>
    </row>
    <row r="170" spans="2:12" s="4" customFormat="1" x14ac:dyDescent="0.35">
      <c r="B170" s="24" t="s">
        <v>185</v>
      </c>
      <c r="C170" s="4" t="s">
        <v>229</v>
      </c>
      <c r="D170" s="4" t="s">
        <v>230</v>
      </c>
      <c r="E170" s="4" t="s">
        <v>231</v>
      </c>
      <c r="F170" s="4" t="s">
        <v>232</v>
      </c>
      <c r="G170" s="25">
        <v>5.5414899105471198</v>
      </c>
      <c r="H170" s="25">
        <v>0.69925000000000015</v>
      </c>
      <c r="I170" s="4" t="s">
        <v>86</v>
      </c>
      <c r="J170" s="25"/>
      <c r="K170" s="25"/>
      <c r="L170" s="27"/>
    </row>
    <row r="171" spans="2:12" s="4" customFormat="1" x14ac:dyDescent="0.35">
      <c r="B171" s="24" t="s">
        <v>185</v>
      </c>
      <c r="C171" s="4" t="s">
        <v>229</v>
      </c>
      <c r="D171" s="4" t="s">
        <v>230</v>
      </c>
      <c r="E171" s="4" t="s">
        <v>231</v>
      </c>
      <c r="F171" s="4" t="s">
        <v>232</v>
      </c>
      <c r="G171" s="25">
        <v>8.0516316205952965</v>
      </c>
      <c r="H171" s="25">
        <v>-0.30743577391999999</v>
      </c>
      <c r="I171" s="4" t="s">
        <v>126</v>
      </c>
      <c r="J171" s="25"/>
      <c r="K171" s="25"/>
      <c r="L171" s="27"/>
    </row>
    <row r="172" spans="2:12" s="4" customFormat="1" x14ac:dyDescent="0.35">
      <c r="B172" s="24" t="s">
        <v>185</v>
      </c>
      <c r="C172" s="4" t="s">
        <v>229</v>
      </c>
      <c r="D172" s="4" t="s">
        <v>230</v>
      </c>
      <c r="E172" s="4" t="s">
        <v>231</v>
      </c>
      <c r="F172" s="4" t="s">
        <v>232</v>
      </c>
      <c r="G172" s="25">
        <v>5.4030496082953334</v>
      </c>
      <c r="H172" s="25">
        <v>2.1051980505066661</v>
      </c>
      <c r="I172" s="4" t="s">
        <v>66</v>
      </c>
      <c r="J172" s="25"/>
      <c r="K172" s="25"/>
      <c r="L172" s="27"/>
    </row>
    <row r="173" spans="2:12" s="4" customFormat="1" x14ac:dyDescent="0.35">
      <c r="B173" s="24" t="s">
        <v>185</v>
      </c>
      <c r="C173" s="4" t="s">
        <v>229</v>
      </c>
      <c r="D173" s="4" t="s">
        <v>230</v>
      </c>
      <c r="E173" s="4" t="s">
        <v>231</v>
      </c>
      <c r="F173" s="4" t="s">
        <v>232</v>
      </c>
      <c r="G173" s="25">
        <v>6.1577398448552998</v>
      </c>
      <c r="H173" s="25">
        <v>-0.18452839289333367</v>
      </c>
      <c r="I173" s="4" t="s">
        <v>180</v>
      </c>
      <c r="J173" s="25"/>
      <c r="K173" s="25"/>
      <c r="L173" s="27"/>
    </row>
    <row r="174" spans="2:12" s="4" customFormat="1" x14ac:dyDescent="0.35">
      <c r="B174" s="24" t="s">
        <v>185</v>
      </c>
      <c r="C174" s="4" t="s">
        <v>229</v>
      </c>
      <c r="D174" s="4" t="s">
        <v>230</v>
      </c>
      <c r="E174" s="4" t="s">
        <v>231</v>
      </c>
      <c r="F174" s="4" t="s">
        <v>232</v>
      </c>
      <c r="G174" s="25">
        <v>7.5570496082953333</v>
      </c>
      <c r="H174" s="25">
        <v>-0.25080194949333401</v>
      </c>
      <c r="I174" s="4" t="s">
        <v>15</v>
      </c>
      <c r="J174" s="25"/>
      <c r="K174" s="25"/>
      <c r="L174" s="27"/>
    </row>
    <row r="175" spans="2:12" s="4" customFormat="1" x14ac:dyDescent="0.35">
      <c r="B175" s="24" t="s">
        <v>185</v>
      </c>
      <c r="C175" s="4" t="s">
        <v>229</v>
      </c>
      <c r="D175" s="4" t="s">
        <v>230</v>
      </c>
      <c r="E175" s="4" t="s">
        <v>231</v>
      </c>
      <c r="F175" s="4" t="s">
        <v>233</v>
      </c>
      <c r="G175" s="25">
        <v>6.9080496082953342</v>
      </c>
      <c r="H175" s="25">
        <v>2.0561980505066662</v>
      </c>
      <c r="I175" s="4" t="s">
        <v>15</v>
      </c>
      <c r="J175" s="25">
        <f>AVERAGE(G176,G175)</f>
        <v>6.5267788691883171</v>
      </c>
      <c r="K175" s="25">
        <f>AVERAGE(H175,H176)</f>
        <v>1.5820573585866666</v>
      </c>
      <c r="L175" s="26" t="s">
        <v>19</v>
      </c>
    </row>
    <row r="176" spans="2:12" s="4" customFormat="1" ht="14.6" thickBot="1" x14ac:dyDescent="0.4">
      <c r="B176" s="30" t="s">
        <v>185</v>
      </c>
      <c r="C176" s="31" t="s">
        <v>229</v>
      </c>
      <c r="D176" s="31" t="s">
        <v>230</v>
      </c>
      <c r="E176" s="31" t="s">
        <v>231</v>
      </c>
      <c r="F176" s="31" t="s">
        <v>233</v>
      </c>
      <c r="G176" s="32">
        <v>6.1455081300812999</v>
      </c>
      <c r="H176" s="32">
        <v>1.1079166666666671</v>
      </c>
      <c r="I176" s="31" t="s">
        <v>10</v>
      </c>
      <c r="J176" s="32"/>
      <c r="K176" s="32"/>
      <c r="L176" s="40"/>
    </row>
    <row r="177" spans="2:12" x14ac:dyDescent="0.35">
      <c r="E177" s="2" t="s">
        <v>509</v>
      </c>
      <c r="G177" s="34">
        <f>AVERAGE(G169:G176)</f>
        <v>6.3078555112583263</v>
      </c>
      <c r="H177" s="34">
        <f>AVERAGE(H169:H176)</f>
        <v>0.86798631286224814</v>
      </c>
      <c r="L177" s="11" t="s">
        <v>19</v>
      </c>
    </row>
    <row r="178" spans="2:12" ht="14.6" thickBot="1" x14ac:dyDescent="0.4">
      <c r="G178" s="34"/>
      <c r="H178" s="34"/>
      <c r="L178" s="4"/>
    </row>
    <row r="179" spans="2:12" s="4" customFormat="1" x14ac:dyDescent="0.35">
      <c r="B179" s="20" t="s">
        <v>185</v>
      </c>
      <c r="C179" s="21" t="s">
        <v>229</v>
      </c>
      <c r="D179" s="21" t="s">
        <v>277</v>
      </c>
      <c r="E179" s="21" t="s">
        <v>278</v>
      </c>
      <c r="F179" s="21" t="s">
        <v>279</v>
      </c>
      <c r="G179" s="22">
        <v>4.3934986301124752</v>
      </c>
      <c r="H179" s="22">
        <v>1.7514644493309679</v>
      </c>
      <c r="I179" s="21" t="s">
        <v>96</v>
      </c>
      <c r="J179" s="22">
        <f>AVERAGE(G179,G180,G181,G182,G183)</f>
        <v>4.3338916498133973</v>
      </c>
      <c r="K179" s="22">
        <f>AVERAGE(H179,H180,H181,H182,H183)</f>
        <v>0.222671650949749</v>
      </c>
      <c r="L179" s="35" t="s">
        <v>19</v>
      </c>
    </row>
    <row r="180" spans="2:12" s="4" customFormat="1" x14ac:dyDescent="0.35">
      <c r="B180" s="24" t="s">
        <v>185</v>
      </c>
      <c r="C180" s="4" t="s">
        <v>229</v>
      </c>
      <c r="D180" s="4" t="s">
        <v>277</v>
      </c>
      <c r="E180" s="4" t="s">
        <v>278</v>
      </c>
      <c r="F180" s="4" t="s">
        <v>279</v>
      </c>
      <c r="G180" s="25">
        <v>5.7659593821510313</v>
      </c>
      <c r="H180" s="25">
        <v>0.20674999999999999</v>
      </c>
      <c r="I180" s="4" t="s">
        <v>86</v>
      </c>
      <c r="J180" s="25"/>
      <c r="K180" s="25"/>
      <c r="L180" s="27"/>
    </row>
    <row r="181" spans="2:12" s="4" customFormat="1" x14ac:dyDescent="0.35">
      <c r="B181" s="24" t="s">
        <v>185</v>
      </c>
      <c r="C181" s="4" t="s">
        <v>229</v>
      </c>
      <c r="D181" s="4" t="s">
        <v>277</v>
      </c>
      <c r="E181" s="4" t="s">
        <v>278</v>
      </c>
      <c r="F181" s="4" t="s">
        <v>279</v>
      </c>
      <c r="G181" s="25">
        <v>3.7105033996912944</v>
      </c>
      <c r="H181" s="25">
        <v>-1.6925976055555558</v>
      </c>
      <c r="I181" s="4" t="s">
        <v>94</v>
      </c>
      <c r="J181" s="25"/>
      <c r="K181" s="25"/>
      <c r="L181" s="27"/>
    </row>
    <row r="182" spans="2:12" s="4" customFormat="1" x14ac:dyDescent="0.35">
      <c r="B182" s="24" t="s">
        <v>185</v>
      </c>
      <c r="C182" s="4" t="s">
        <v>229</v>
      </c>
      <c r="D182" s="4" t="s">
        <v>277</v>
      </c>
      <c r="E182" s="4" t="s">
        <v>278</v>
      </c>
      <c r="F182" s="4" t="s">
        <v>279</v>
      </c>
      <c r="G182" s="25">
        <v>5.1873082231052976</v>
      </c>
      <c r="H182" s="25">
        <v>1.7994080776399994</v>
      </c>
      <c r="I182" s="4" t="s">
        <v>180</v>
      </c>
      <c r="J182" s="25"/>
      <c r="K182" s="25"/>
      <c r="L182" s="27"/>
    </row>
    <row r="183" spans="2:12" s="4" customFormat="1" x14ac:dyDescent="0.35">
      <c r="B183" s="24" t="s">
        <v>185</v>
      </c>
      <c r="C183" s="4" t="s">
        <v>229</v>
      </c>
      <c r="D183" s="4" t="s">
        <v>277</v>
      </c>
      <c r="E183" s="4" t="s">
        <v>278</v>
      </c>
      <c r="F183" s="4" t="s">
        <v>279</v>
      </c>
      <c r="G183" s="25">
        <v>2.612188614006886</v>
      </c>
      <c r="H183" s="25">
        <v>-0.95166666666666677</v>
      </c>
      <c r="I183" s="4" t="s">
        <v>16</v>
      </c>
      <c r="J183" s="25"/>
      <c r="K183" s="25"/>
      <c r="L183" s="27"/>
    </row>
    <row r="184" spans="2:12" s="4" customFormat="1" ht="14.6" thickBot="1" x14ac:dyDescent="0.4">
      <c r="B184" s="30" t="s">
        <v>185</v>
      </c>
      <c r="C184" s="31" t="s">
        <v>229</v>
      </c>
      <c r="D184" s="31" t="s">
        <v>277</v>
      </c>
      <c r="E184" s="31" t="s">
        <v>278</v>
      </c>
      <c r="F184" s="31" t="s">
        <v>280</v>
      </c>
      <c r="G184" s="32">
        <v>3.1200277226677144</v>
      </c>
      <c r="H184" s="32">
        <v>0.33568790229428602</v>
      </c>
      <c r="I184" s="31" t="s">
        <v>238</v>
      </c>
      <c r="J184" s="32">
        <v>3.1200277226677144</v>
      </c>
      <c r="K184" s="32">
        <v>0.33568790229428602</v>
      </c>
      <c r="L184" s="33" t="s">
        <v>19</v>
      </c>
    </row>
    <row r="185" spans="2:12" x14ac:dyDescent="0.35">
      <c r="E185" s="2" t="s">
        <v>510</v>
      </c>
      <c r="G185" s="34">
        <f>AVERAGE(G179:G184)</f>
        <v>4.1315809952891165</v>
      </c>
      <c r="H185" s="34">
        <f>AVERAGE(H179:H184)</f>
        <v>0.24150769284050519</v>
      </c>
      <c r="L185" s="11" t="s">
        <v>19</v>
      </c>
    </row>
    <row r="186" spans="2:12" ht="14.6" thickBot="1" x14ac:dyDescent="0.4">
      <c r="G186" s="34"/>
      <c r="H186" s="34"/>
      <c r="L186" s="4"/>
    </row>
    <row r="187" spans="2:12" s="4" customFormat="1" x14ac:dyDescent="0.35">
      <c r="B187" s="20" t="s">
        <v>185</v>
      </c>
      <c r="C187" s="21" t="s">
        <v>229</v>
      </c>
      <c r="D187" s="21" t="s">
        <v>284</v>
      </c>
      <c r="E187" s="21" t="s">
        <v>285</v>
      </c>
      <c r="F187" s="21" t="s">
        <v>286</v>
      </c>
      <c r="G187" s="22">
        <v>5.305435623839081</v>
      </c>
      <c r="H187" s="22">
        <v>2.1047947408931362</v>
      </c>
      <c r="I187" s="21" t="s">
        <v>202</v>
      </c>
      <c r="J187" s="22">
        <v>5.305435623839081</v>
      </c>
      <c r="K187" s="22">
        <v>2.1047947408931362</v>
      </c>
      <c r="L187" s="86" t="s">
        <v>6</v>
      </c>
    </row>
    <row r="188" spans="2:12" s="4" customFormat="1" ht="14.6" thickBot="1" x14ac:dyDescent="0.4">
      <c r="B188" s="30" t="s">
        <v>185</v>
      </c>
      <c r="C188" s="31" t="s">
        <v>229</v>
      </c>
      <c r="D188" s="31" t="s">
        <v>284</v>
      </c>
      <c r="E188" s="31" t="s">
        <v>285</v>
      </c>
      <c r="F188" s="31" t="s">
        <v>287</v>
      </c>
      <c r="G188" s="32">
        <v>3.985890659999999</v>
      </c>
      <c r="H188" s="32">
        <v>1.9826868420000001</v>
      </c>
      <c r="I188" s="31" t="s">
        <v>30</v>
      </c>
      <c r="J188" s="32">
        <v>3.985890659999999</v>
      </c>
      <c r="K188" s="32">
        <v>1.9826868420000001</v>
      </c>
      <c r="L188" s="78" t="s">
        <v>6</v>
      </c>
    </row>
    <row r="189" spans="2:12" x14ac:dyDescent="0.35">
      <c r="E189" s="2" t="s">
        <v>511</v>
      </c>
      <c r="G189" s="34">
        <f>AVERAGE(G187:G188)</f>
        <v>4.64566314191954</v>
      </c>
      <c r="H189" s="34">
        <f>AVERAGE(H187:H188)</f>
        <v>2.0437407914465684</v>
      </c>
      <c r="L189" s="12" t="s">
        <v>6</v>
      </c>
    </row>
    <row r="190" spans="2:12" ht="14.6" thickBot="1" x14ac:dyDescent="0.4">
      <c r="G190" s="34"/>
      <c r="H190" s="34"/>
      <c r="L190" s="4"/>
    </row>
    <row r="191" spans="2:12" s="4" customFormat="1" x14ac:dyDescent="0.35">
      <c r="B191" s="20" t="s">
        <v>185</v>
      </c>
      <c r="C191" s="21" t="s">
        <v>234</v>
      </c>
      <c r="D191" s="21" t="s">
        <v>235</v>
      </c>
      <c r="E191" s="21" t="s">
        <v>236</v>
      </c>
      <c r="F191" s="21" t="s">
        <v>237</v>
      </c>
      <c r="G191" s="22">
        <v>4.4399320241180931</v>
      </c>
      <c r="H191" s="22">
        <v>2.2352369404399983</v>
      </c>
      <c r="I191" s="21" t="s">
        <v>75</v>
      </c>
      <c r="J191" s="22">
        <f>AVERAGE(G191,G192,G193,G194)</f>
        <v>5.903506519862173</v>
      </c>
      <c r="K191" s="22">
        <f>AVERAGE(H191,H192,H193,H194)</f>
        <v>0.1748916964116658</v>
      </c>
      <c r="L191" s="35" t="s">
        <v>19</v>
      </c>
    </row>
    <row r="192" spans="2:12" s="4" customFormat="1" x14ac:dyDescent="0.35">
      <c r="B192" s="24" t="s">
        <v>185</v>
      </c>
      <c r="C192" s="4" t="s">
        <v>234</v>
      </c>
      <c r="D192" s="4" t="s">
        <v>235</v>
      </c>
      <c r="E192" s="4" t="s">
        <v>236</v>
      </c>
      <c r="F192" s="4" t="s">
        <v>237</v>
      </c>
      <c r="G192" s="25">
        <v>8.0144538473432991</v>
      </c>
      <c r="H192" s="25">
        <v>-0.19374009734000097</v>
      </c>
      <c r="I192" s="4" t="s">
        <v>126</v>
      </c>
      <c r="J192" s="25"/>
      <c r="K192" s="25"/>
      <c r="L192" s="27"/>
    </row>
    <row r="193" spans="2:12" s="4" customFormat="1" x14ac:dyDescent="0.35">
      <c r="B193" s="24" t="s">
        <v>185</v>
      </c>
      <c r="C193" s="4" t="s">
        <v>234</v>
      </c>
      <c r="D193" s="4" t="s">
        <v>235</v>
      </c>
      <c r="E193" s="4" t="s">
        <v>236</v>
      </c>
      <c r="F193" s="4" t="s">
        <v>237</v>
      </c>
      <c r="G193" s="25">
        <v>4.8302768631319992</v>
      </c>
      <c r="H193" s="25">
        <v>-3.32340166456</v>
      </c>
      <c r="I193" s="4" t="s">
        <v>238</v>
      </c>
      <c r="J193" s="25"/>
      <c r="K193" s="25"/>
      <c r="L193" s="27"/>
    </row>
    <row r="194" spans="2:12" s="4" customFormat="1" x14ac:dyDescent="0.35">
      <c r="B194" s="24" t="s">
        <v>185</v>
      </c>
      <c r="C194" s="4" t="s">
        <v>234</v>
      </c>
      <c r="D194" s="4" t="s">
        <v>235</v>
      </c>
      <c r="E194" s="4" t="s">
        <v>236</v>
      </c>
      <c r="F194" s="4" t="s">
        <v>237</v>
      </c>
      <c r="G194" s="25">
        <v>6.3293633448553024</v>
      </c>
      <c r="H194" s="25">
        <v>1.9814716071066658</v>
      </c>
      <c r="I194" s="4" t="s">
        <v>180</v>
      </c>
      <c r="J194" s="25"/>
      <c r="K194" s="25"/>
      <c r="L194" s="27"/>
    </row>
    <row r="195" spans="2:12" s="4" customFormat="1" ht="16.75" x14ac:dyDescent="0.5">
      <c r="B195" s="24" t="s">
        <v>185</v>
      </c>
      <c r="C195" s="4" t="s">
        <v>234</v>
      </c>
      <c r="D195" s="4" t="s">
        <v>235</v>
      </c>
      <c r="E195" s="4" t="s">
        <v>236</v>
      </c>
      <c r="F195" s="4" t="s">
        <v>239</v>
      </c>
      <c r="G195" s="25">
        <v>8.6933929549402951</v>
      </c>
      <c r="H195" s="25">
        <v>0.69087540427500027</v>
      </c>
      <c r="I195" s="4" t="s">
        <v>126</v>
      </c>
      <c r="J195" s="25">
        <f>AVERAGE(G195,G196)</f>
        <v>8.1684753738548537</v>
      </c>
      <c r="K195" s="25">
        <f>AVERAGE(H195,H196)</f>
        <v>1.5731460354708338</v>
      </c>
      <c r="L195" s="36" t="s">
        <v>604</v>
      </c>
    </row>
    <row r="196" spans="2:12" s="4" customFormat="1" x14ac:dyDescent="0.35">
      <c r="B196" s="24" t="s">
        <v>185</v>
      </c>
      <c r="C196" s="4" t="s">
        <v>234</v>
      </c>
      <c r="D196" s="4" t="s">
        <v>235</v>
      </c>
      <c r="E196" s="4" t="s">
        <v>236</v>
      </c>
      <c r="F196" s="4" t="s">
        <v>239</v>
      </c>
      <c r="G196" s="25">
        <v>7.643557792769414</v>
      </c>
      <c r="H196" s="25">
        <v>2.4554166666666672</v>
      </c>
      <c r="I196" s="4" t="s">
        <v>10</v>
      </c>
      <c r="J196" s="25"/>
      <c r="K196" s="25"/>
      <c r="L196" s="27"/>
    </row>
    <row r="197" spans="2:12" s="4" customFormat="1" ht="16.75" x14ac:dyDescent="0.5">
      <c r="B197" s="24" t="s">
        <v>185</v>
      </c>
      <c r="C197" s="4" t="s">
        <v>234</v>
      </c>
      <c r="D197" s="4" t="s">
        <v>235</v>
      </c>
      <c r="E197" s="4" t="s">
        <v>236</v>
      </c>
      <c r="F197" s="4" t="s">
        <v>240</v>
      </c>
      <c r="G197" s="25">
        <v>9.2080090685833031</v>
      </c>
      <c r="H197" s="25">
        <v>1.3701518687760004</v>
      </c>
      <c r="I197" s="4" t="s">
        <v>126</v>
      </c>
      <c r="J197" s="25">
        <f>AVERAGE(G197,G198,G199,G200)</f>
        <v>8.9217189338124925</v>
      </c>
      <c r="K197" s="25">
        <f>AVERAGE(H197,H198,H199,H200)</f>
        <v>2.2685421338606671</v>
      </c>
      <c r="L197" s="36" t="s">
        <v>604</v>
      </c>
    </row>
    <row r="198" spans="2:12" s="4" customFormat="1" x14ac:dyDescent="0.35">
      <c r="B198" s="24" t="s">
        <v>185</v>
      </c>
      <c r="C198" s="4" t="s">
        <v>234</v>
      </c>
      <c r="D198" s="4" t="s">
        <v>235</v>
      </c>
      <c r="E198" s="4" t="s">
        <v>236</v>
      </c>
      <c r="F198" s="4" t="s">
        <v>240</v>
      </c>
      <c r="G198" s="25">
        <v>10.049399999999999</v>
      </c>
      <c r="H198" s="25">
        <v>2.0906000000000002</v>
      </c>
      <c r="I198" s="4" t="s">
        <v>87</v>
      </c>
      <c r="J198" s="25"/>
      <c r="K198" s="25"/>
      <c r="L198" s="27"/>
    </row>
    <row r="199" spans="2:12" s="4" customFormat="1" x14ac:dyDescent="0.35">
      <c r="B199" s="24" t="s">
        <v>185</v>
      </c>
      <c r="C199" s="4" t="s">
        <v>234</v>
      </c>
      <c r="D199" s="4" t="s">
        <v>235</v>
      </c>
      <c r="E199" s="4" t="s">
        <v>236</v>
      </c>
      <c r="F199" s="4" t="s">
        <v>240</v>
      </c>
      <c r="G199" s="25">
        <v>8.3093000000000004</v>
      </c>
      <c r="H199" s="25">
        <v>2.9190000000000005</v>
      </c>
      <c r="I199" s="4" t="s">
        <v>88</v>
      </c>
      <c r="J199" s="25"/>
      <c r="K199" s="25"/>
      <c r="L199" s="27"/>
    </row>
    <row r="200" spans="2:12" s="4" customFormat="1" x14ac:dyDescent="0.35">
      <c r="B200" s="24" t="s">
        <v>185</v>
      </c>
      <c r="C200" s="4" t="s">
        <v>234</v>
      </c>
      <c r="D200" s="4" t="s">
        <v>235</v>
      </c>
      <c r="E200" s="4" t="s">
        <v>236</v>
      </c>
      <c r="F200" s="4" t="s">
        <v>240</v>
      </c>
      <c r="G200" s="25">
        <v>8.1201666666666661</v>
      </c>
      <c r="H200" s="25">
        <v>2.6944166666666671</v>
      </c>
      <c r="I200" s="4" t="s">
        <v>10</v>
      </c>
      <c r="J200" s="25"/>
      <c r="K200" s="25"/>
      <c r="L200" s="27"/>
    </row>
    <row r="201" spans="2:12" s="4" customFormat="1" x14ac:dyDescent="0.35">
      <c r="B201" s="24" t="s">
        <v>185</v>
      </c>
      <c r="C201" s="4" t="s">
        <v>234</v>
      </c>
      <c r="D201" s="4" t="s">
        <v>235</v>
      </c>
      <c r="E201" s="4" t="s">
        <v>236</v>
      </c>
      <c r="F201" s="4" t="s">
        <v>241</v>
      </c>
      <c r="G201" s="25">
        <v>4.3446617604149225</v>
      </c>
      <c r="H201" s="25">
        <v>1.5642947408931354</v>
      </c>
      <c r="I201" s="4" t="s">
        <v>202</v>
      </c>
      <c r="J201" s="25">
        <f>AVERAGE(G201,G202,G203,G204,G205,G206)</f>
        <v>5.650032849397415</v>
      </c>
      <c r="K201" s="25">
        <f>AVERAGE(H201,H202,H203,H204,H205,H206)</f>
        <v>-1.0241466579339222</v>
      </c>
      <c r="L201" s="26" t="s">
        <v>19</v>
      </c>
    </row>
    <row r="202" spans="2:12" s="4" customFormat="1" x14ac:dyDescent="0.35">
      <c r="B202" s="24" t="s">
        <v>185</v>
      </c>
      <c r="C202" s="4" t="s">
        <v>234</v>
      </c>
      <c r="D202" s="4" t="s">
        <v>235</v>
      </c>
      <c r="E202" s="4" t="s">
        <v>236</v>
      </c>
      <c r="F202" s="4" t="s">
        <v>241</v>
      </c>
      <c r="G202" s="25">
        <v>6.2865587684626618</v>
      </c>
      <c r="H202" s="25">
        <v>0.81800000000000006</v>
      </c>
      <c r="I202" s="4" t="s">
        <v>86</v>
      </c>
      <c r="J202" s="25"/>
      <c r="K202" s="25"/>
      <c r="L202" s="27"/>
    </row>
    <row r="203" spans="2:12" s="4" customFormat="1" x14ac:dyDescent="0.35">
      <c r="B203" s="24" t="s">
        <v>185</v>
      </c>
      <c r="C203" s="4" t="s">
        <v>234</v>
      </c>
      <c r="D203" s="4" t="s">
        <v>235</v>
      </c>
      <c r="E203" s="4" t="s">
        <v>236</v>
      </c>
      <c r="F203" s="4" t="s">
        <v>241</v>
      </c>
      <c r="G203" s="25">
        <v>6.1105563448553024</v>
      </c>
      <c r="H203" s="25">
        <v>-2.0195283928933341</v>
      </c>
      <c r="I203" s="4" t="s">
        <v>126</v>
      </c>
      <c r="J203" s="25"/>
      <c r="K203" s="25"/>
      <c r="L203" s="27"/>
    </row>
    <row r="204" spans="2:12" s="4" customFormat="1" x14ac:dyDescent="0.35">
      <c r="B204" s="24" t="s">
        <v>185</v>
      </c>
      <c r="C204" s="4" t="s">
        <v>234</v>
      </c>
      <c r="D204" s="4" t="s">
        <v>235</v>
      </c>
      <c r="E204" s="4" t="s">
        <v>236</v>
      </c>
      <c r="F204" s="4" t="s">
        <v>241</v>
      </c>
      <c r="G204" s="25">
        <v>4.7802138777962924</v>
      </c>
      <c r="H204" s="25">
        <v>-2.3796179027099997</v>
      </c>
      <c r="I204" s="4" t="s">
        <v>12</v>
      </c>
      <c r="J204" s="25"/>
      <c r="K204" s="25"/>
      <c r="L204" s="27"/>
    </row>
    <row r="205" spans="2:12" s="4" customFormat="1" x14ac:dyDescent="0.35">
      <c r="B205" s="24" t="s">
        <v>185</v>
      </c>
      <c r="C205" s="4" t="s">
        <v>234</v>
      </c>
      <c r="D205" s="4" t="s">
        <v>235</v>
      </c>
      <c r="E205" s="4" t="s">
        <v>236</v>
      </c>
      <c r="F205" s="4" t="s">
        <v>241</v>
      </c>
      <c r="G205" s="25">
        <v>6.1105563448553024</v>
      </c>
      <c r="H205" s="25">
        <v>-4.1195283928933346</v>
      </c>
      <c r="I205" s="4" t="s">
        <v>180</v>
      </c>
      <c r="J205" s="25"/>
      <c r="K205" s="25"/>
      <c r="L205" s="27"/>
    </row>
    <row r="206" spans="2:12" s="4" customFormat="1" x14ac:dyDescent="0.35">
      <c r="B206" s="24" t="s">
        <v>185</v>
      </c>
      <c r="C206" s="4" t="s">
        <v>234</v>
      </c>
      <c r="D206" s="4" t="s">
        <v>235</v>
      </c>
      <c r="E206" s="4" t="s">
        <v>236</v>
      </c>
      <c r="F206" s="4" t="s">
        <v>241</v>
      </c>
      <c r="G206" s="25">
        <v>6.2676499999999997</v>
      </c>
      <c r="H206" s="25">
        <v>-8.49999999999973E-3</v>
      </c>
      <c r="I206" s="4" t="s">
        <v>87</v>
      </c>
      <c r="J206" s="25"/>
      <c r="K206" s="25"/>
      <c r="L206" s="27"/>
    </row>
    <row r="207" spans="2:12" s="4" customFormat="1" x14ac:dyDescent="0.35">
      <c r="B207" s="24" t="s">
        <v>185</v>
      </c>
      <c r="C207" s="4" t="s">
        <v>234</v>
      </c>
      <c r="D207" s="4" t="s">
        <v>235</v>
      </c>
      <c r="E207" s="4" t="s">
        <v>236</v>
      </c>
      <c r="F207" s="4" t="s">
        <v>242</v>
      </c>
      <c r="G207" s="25">
        <v>3.0894350048349182</v>
      </c>
      <c r="H207" s="25">
        <v>0.77966666666666695</v>
      </c>
      <c r="I207" s="4" t="s">
        <v>123</v>
      </c>
      <c r="J207" s="25">
        <f>AVERAGE(G207,G208,G209)</f>
        <v>4.360737940295965</v>
      </c>
      <c r="K207" s="25">
        <f>AVERAGE(H207,H208,H209)</f>
        <v>-0.66795390874222216</v>
      </c>
      <c r="L207" s="26" t="s">
        <v>19</v>
      </c>
    </row>
    <row r="208" spans="2:12" s="4" customFormat="1" x14ac:dyDescent="0.35">
      <c r="B208" s="24" t="s">
        <v>185</v>
      </c>
      <c r="C208" s="4" t="s">
        <v>234</v>
      </c>
      <c r="D208" s="4" t="s">
        <v>235</v>
      </c>
      <c r="E208" s="4" t="s">
        <v>236</v>
      </c>
      <c r="F208" s="4" t="s">
        <v>242</v>
      </c>
      <c r="G208" s="25">
        <v>4.0554014711976762</v>
      </c>
      <c r="H208" s="25">
        <v>-1.3770000000000002</v>
      </c>
      <c r="I208" s="4" t="s">
        <v>210</v>
      </c>
      <c r="J208" s="25"/>
      <c r="K208" s="25"/>
      <c r="L208" s="27"/>
    </row>
    <row r="209" spans="2:12" s="4" customFormat="1" x14ac:dyDescent="0.35">
      <c r="B209" s="24" t="s">
        <v>185</v>
      </c>
      <c r="C209" s="4" t="s">
        <v>234</v>
      </c>
      <c r="D209" s="4" t="s">
        <v>235</v>
      </c>
      <c r="E209" s="4" t="s">
        <v>236</v>
      </c>
      <c r="F209" s="4" t="s">
        <v>242</v>
      </c>
      <c r="G209" s="25">
        <v>5.9373773448552996</v>
      </c>
      <c r="H209" s="25">
        <v>-1.4065283928933332</v>
      </c>
      <c r="I209" s="4" t="s">
        <v>180</v>
      </c>
      <c r="J209" s="25"/>
      <c r="K209" s="25"/>
      <c r="L209" s="27"/>
    </row>
    <row r="210" spans="2:12" s="4" customFormat="1" x14ac:dyDescent="0.35">
      <c r="B210" s="24" t="s">
        <v>185</v>
      </c>
      <c r="C210" s="4" t="s">
        <v>234</v>
      </c>
      <c r="D210" s="4" t="s">
        <v>235</v>
      </c>
      <c r="E210" s="4" t="s">
        <v>236</v>
      </c>
      <c r="F210" s="4" t="s">
        <v>243</v>
      </c>
      <c r="G210" s="25">
        <v>5.2740496082953339</v>
      </c>
      <c r="H210" s="25">
        <v>-0.76380194949333402</v>
      </c>
      <c r="I210" s="4" t="s">
        <v>15</v>
      </c>
      <c r="J210" s="25">
        <v>5.2740496082953339</v>
      </c>
      <c r="K210" s="25">
        <v>-0.76380194949333402</v>
      </c>
      <c r="L210" s="26" t="s">
        <v>19</v>
      </c>
    </row>
    <row r="211" spans="2:12" s="4" customFormat="1" x14ac:dyDescent="0.35">
      <c r="B211" s="24" t="s">
        <v>185</v>
      </c>
      <c r="C211" s="4" t="s">
        <v>234</v>
      </c>
      <c r="D211" s="4" t="s">
        <v>235</v>
      </c>
      <c r="E211" s="4" t="s">
        <v>236</v>
      </c>
      <c r="F211" s="4" t="s">
        <v>244</v>
      </c>
      <c r="G211" s="25">
        <v>5.1889913768566913</v>
      </c>
      <c r="H211" s="25">
        <v>2.0139860237733318</v>
      </c>
      <c r="I211" s="4" t="s">
        <v>75</v>
      </c>
      <c r="J211" s="25">
        <v>5.1889913768566913</v>
      </c>
      <c r="K211" s="25">
        <v>2.0139860237733318</v>
      </c>
      <c r="L211" s="29" t="s">
        <v>6</v>
      </c>
    </row>
    <row r="212" spans="2:12" s="4" customFormat="1" ht="16.75" x14ac:dyDescent="0.5">
      <c r="B212" s="24" t="s">
        <v>185</v>
      </c>
      <c r="C212" s="4" t="s">
        <v>234</v>
      </c>
      <c r="D212" s="4" t="s">
        <v>235</v>
      </c>
      <c r="E212" s="4" t="s">
        <v>236</v>
      </c>
      <c r="F212" s="4" t="s">
        <v>245</v>
      </c>
      <c r="G212" s="25">
        <v>6.383427376560153</v>
      </c>
      <c r="H212" s="25">
        <v>2.9512965832971405</v>
      </c>
      <c r="I212" s="4" t="s">
        <v>75</v>
      </c>
      <c r="J212" s="25">
        <f>AVERAGE(G212,G213,G214)</f>
        <v>7.7204571943086249</v>
      </c>
      <c r="K212" s="25">
        <f>AVERAGE(H212,H213,H214)</f>
        <v>2.8745321944323803</v>
      </c>
      <c r="L212" s="36" t="s">
        <v>604</v>
      </c>
    </row>
    <row r="213" spans="2:12" s="4" customFormat="1" x14ac:dyDescent="0.35">
      <c r="B213" s="24" t="s">
        <v>185</v>
      </c>
      <c r="C213" s="4" t="s">
        <v>234</v>
      </c>
      <c r="D213" s="4" t="s">
        <v>235</v>
      </c>
      <c r="E213" s="4" t="s">
        <v>236</v>
      </c>
      <c r="F213" s="4" t="s">
        <v>245</v>
      </c>
      <c r="G213" s="25">
        <v>7.8985442063657203</v>
      </c>
      <c r="H213" s="25">
        <v>4.3250000000000002</v>
      </c>
      <c r="I213" s="4" t="s">
        <v>86</v>
      </c>
      <c r="J213" s="25"/>
      <c r="K213" s="25"/>
      <c r="L213" s="27"/>
    </row>
    <row r="214" spans="2:12" s="4" customFormat="1" x14ac:dyDescent="0.35">
      <c r="B214" s="24" t="s">
        <v>185</v>
      </c>
      <c r="C214" s="4" t="s">
        <v>234</v>
      </c>
      <c r="D214" s="4" t="s">
        <v>235</v>
      </c>
      <c r="E214" s="4" t="s">
        <v>236</v>
      </c>
      <c r="F214" s="4" t="s">
        <v>245</v>
      </c>
      <c r="G214" s="25">
        <v>8.8794000000000004</v>
      </c>
      <c r="H214" s="25">
        <v>1.3473000000000006</v>
      </c>
      <c r="I214" s="4" t="s">
        <v>87</v>
      </c>
      <c r="J214" s="25"/>
      <c r="K214" s="25"/>
      <c r="L214" s="27"/>
    </row>
    <row r="215" spans="2:12" s="4" customFormat="1" x14ac:dyDescent="0.35">
      <c r="B215" s="24" t="s">
        <v>185</v>
      </c>
      <c r="C215" s="4" t="s">
        <v>234</v>
      </c>
      <c r="D215" s="4" t="s">
        <v>235</v>
      </c>
      <c r="E215" s="4" t="s">
        <v>236</v>
      </c>
      <c r="F215" s="4" t="s">
        <v>246</v>
      </c>
      <c r="G215" s="25">
        <v>6.2601945192706161</v>
      </c>
      <c r="H215" s="25">
        <v>2.3907500000000002</v>
      </c>
      <c r="I215" s="4" t="s">
        <v>123</v>
      </c>
      <c r="J215" s="25">
        <v>6.2601945192706161</v>
      </c>
      <c r="K215" s="25">
        <v>2.3907500000000002</v>
      </c>
      <c r="L215" s="29" t="s">
        <v>6</v>
      </c>
    </row>
    <row r="216" spans="2:12" s="4" customFormat="1" ht="14.6" thickBot="1" x14ac:dyDescent="0.4">
      <c r="B216" s="30" t="s">
        <v>185</v>
      </c>
      <c r="C216" s="31" t="s">
        <v>234</v>
      </c>
      <c r="D216" s="31" t="s">
        <v>235</v>
      </c>
      <c r="E216" s="31" t="s">
        <v>236</v>
      </c>
      <c r="F216" s="31" t="s">
        <v>247</v>
      </c>
      <c r="G216" s="32">
        <v>5.933049608295331</v>
      </c>
      <c r="H216" s="32">
        <v>-2.9048019494933337</v>
      </c>
      <c r="I216" s="31" t="s">
        <v>66</v>
      </c>
      <c r="J216" s="32">
        <v>5.9330496082953301</v>
      </c>
      <c r="K216" s="32">
        <v>-2.9048019494933337</v>
      </c>
      <c r="L216" s="96" t="s">
        <v>82</v>
      </c>
    </row>
    <row r="217" spans="2:12" x14ac:dyDescent="0.35">
      <c r="E217" s="2" t="s">
        <v>512</v>
      </c>
      <c r="G217" s="34">
        <f>AVERAGE(G191:G216)</f>
        <v>6.4783815452047913</v>
      </c>
      <c r="H217" s="34">
        <f>AVERAGE(H191:H216)</f>
        <v>0.54350055485710036</v>
      </c>
      <c r="L217" s="11" t="s">
        <v>19</v>
      </c>
    </row>
    <row r="218" spans="2:12" ht="14.6" thickBot="1" x14ac:dyDescent="0.4"/>
    <row r="219" spans="2:12" s="4" customFormat="1" x14ac:dyDescent="0.35">
      <c r="B219" s="20" t="s">
        <v>185</v>
      </c>
      <c r="C219" s="21" t="s">
        <v>248</v>
      </c>
      <c r="D219" s="21" t="s">
        <v>249</v>
      </c>
      <c r="E219" s="21" t="s">
        <v>250</v>
      </c>
      <c r="F219" s="21" t="s">
        <v>251</v>
      </c>
      <c r="G219" s="22">
        <v>3.8499999999999979</v>
      </c>
      <c r="H219" s="22">
        <v>1.2999999999999998</v>
      </c>
      <c r="I219" s="21" t="s">
        <v>22</v>
      </c>
      <c r="J219" s="22">
        <v>3.8499999999999979</v>
      </c>
      <c r="K219" s="22">
        <v>1.2999999999999998</v>
      </c>
      <c r="L219" s="35" t="s">
        <v>19</v>
      </c>
    </row>
    <row r="220" spans="2:12" s="4" customFormat="1" x14ac:dyDescent="0.35">
      <c r="B220" s="24" t="s">
        <v>185</v>
      </c>
      <c r="C220" s="4" t="s">
        <v>248</v>
      </c>
      <c r="D220" s="4" t="s">
        <v>249</v>
      </c>
      <c r="E220" s="4" t="s">
        <v>250</v>
      </c>
      <c r="F220" s="4" t="s">
        <v>252</v>
      </c>
      <c r="G220" s="25">
        <v>4.4136356944488</v>
      </c>
      <c r="H220" s="25">
        <v>3.5208684404399984</v>
      </c>
      <c r="I220" s="4" t="s">
        <v>75</v>
      </c>
      <c r="J220" s="25">
        <v>4.4136356944488</v>
      </c>
      <c r="K220" s="25">
        <v>3.5208684404399984</v>
      </c>
      <c r="L220" s="29" t="s">
        <v>6</v>
      </c>
    </row>
    <row r="221" spans="2:12" s="4" customFormat="1" x14ac:dyDescent="0.35">
      <c r="B221" s="24" t="s">
        <v>185</v>
      </c>
      <c r="C221" s="4" t="s">
        <v>248</v>
      </c>
      <c r="D221" s="4" t="s">
        <v>249</v>
      </c>
      <c r="E221" s="4" t="s">
        <v>250</v>
      </c>
      <c r="F221" s="4" t="s">
        <v>253</v>
      </c>
      <c r="G221" s="25">
        <v>4.6101464000000014</v>
      </c>
      <c r="H221" s="25">
        <v>2.256783333</v>
      </c>
      <c r="I221" s="4" t="s">
        <v>30</v>
      </c>
      <c r="J221" s="25">
        <v>4.6101464000000014</v>
      </c>
      <c r="K221" s="25">
        <v>2.256783333</v>
      </c>
      <c r="L221" s="29" t="s">
        <v>6</v>
      </c>
    </row>
    <row r="222" spans="2:12" s="4" customFormat="1" ht="14.6" thickBot="1" x14ac:dyDescent="0.4">
      <c r="B222" s="30" t="s">
        <v>185</v>
      </c>
      <c r="C222" s="31" t="s">
        <v>248</v>
      </c>
      <c r="D222" s="31" t="s">
        <v>249</v>
      </c>
      <c r="E222" s="31" t="s">
        <v>250</v>
      </c>
      <c r="F222" s="31" t="s">
        <v>254</v>
      </c>
      <c r="G222" s="32">
        <v>4.9041466750000033</v>
      </c>
      <c r="H222" s="32">
        <v>6.0090092095000003</v>
      </c>
      <c r="I222" s="31" t="s">
        <v>30</v>
      </c>
      <c r="J222" s="32">
        <v>4.9041466750000033</v>
      </c>
      <c r="K222" s="32">
        <v>6.0090092095000003</v>
      </c>
      <c r="L222" s="92" t="s">
        <v>8</v>
      </c>
    </row>
    <row r="223" spans="2:12" x14ac:dyDescent="0.35">
      <c r="E223" s="2" t="s">
        <v>513</v>
      </c>
      <c r="G223" s="34">
        <f>AVERAGE(G219:G222)</f>
        <v>4.4444821923622007</v>
      </c>
      <c r="H223" s="34">
        <f>AVERAGE(H219:H222)</f>
        <v>3.2716652457349995</v>
      </c>
      <c r="L223" s="12" t="s">
        <v>6</v>
      </c>
    </row>
    <row r="224" spans="2:12" ht="14.6" thickBot="1" x14ac:dyDescent="0.4"/>
    <row r="225" spans="2:12" s="4" customFormat="1" x14ac:dyDescent="0.35">
      <c r="B225" s="20" t="s">
        <v>185</v>
      </c>
      <c r="C225" s="21" t="s">
        <v>248</v>
      </c>
      <c r="D225" s="21" t="s">
        <v>255</v>
      </c>
      <c r="E225" s="21" t="s">
        <v>256</v>
      </c>
      <c r="F225" s="21" t="s">
        <v>257</v>
      </c>
      <c r="G225" s="22">
        <v>4.6499999999999986</v>
      </c>
      <c r="H225" s="22">
        <v>3</v>
      </c>
      <c r="I225" s="21" t="s">
        <v>22</v>
      </c>
      <c r="J225" s="22">
        <v>4.6499999999999986</v>
      </c>
      <c r="K225" s="22">
        <v>3</v>
      </c>
      <c r="L225" s="86" t="s">
        <v>6</v>
      </c>
    </row>
    <row r="226" spans="2:12" s="4" customFormat="1" x14ac:dyDescent="0.35">
      <c r="B226" s="24" t="s">
        <v>185</v>
      </c>
      <c r="C226" s="4" t="s">
        <v>248</v>
      </c>
      <c r="D226" s="4" t="s">
        <v>255</v>
      </c>
      <c r="E226" s="4" t="s">
        <v>256</v>
      </c>
      <c r="F226" s="4" t="s">
        <v>258</v>
      </c>
      <c r="G226" s="25">
        <v>4.8499999999999979</v>
      </c>
      <c r="H226" s="25">
        <v>2.5</v>
      </c>
      <c r="I226" s="4" t="s">
        <v>22</v>
      </c>
      <c r="J226" s="25">
        <v>4.8499999999999979</v>
      </c>
      <c r="K226" s="25">
        <v>2.5</v>
      </c>
      <c r="L226" s="29" t="s">
        <v>6</v>
      </c>
    </row>
    <row r="227" spans="2:12" s="4" customFormat="1" ht="14.6" thickBot="1" x14ac:dyDescent="0.4">
      <c r="B227" s="30" t="s">
        <v>185</v>
      </c>
      <c r="C227" s="31" t="s">
        <v>248</v>
      </c>
      <c r="D227" s="31" t="s">
        <v>255</v>
      </c>
      <c r="E227" s="31" t="s">
        <v>256</v>
      </c>
      <c r="F227" s="31" t="s">
        <v>259</v>
      </c>
      <c r="G227" s="32">
        <v>4.4499999999999993</v>
      </c>
      <c r="H227" s="32">
        <v>0.99999999999999989</v>
      </c>
      <c r="I227" s="31" t="s">
        <v>22</v>
      </c>
      <c r="J227" s="32">
        <v>4.4499999999999993</v>
      </c>
      <c r="K227" s="32">
        <v>0.99999999999999989</v>
      </c>
      <c r="L227" s="33" t="s">
        <v>19</v>
      </c>
    </row>
    <row r="228" spans="2:12" x14ac:dyDescent="0.35">
      <c r="E228" s="2" t="s">
        <v>514</v>
      </c>
      <c r="G228" s="34">
        <f>AVERAGE(G225:G227)</f>
        <v>4.6499999999999986</v>
      </c>
      <c r="H228" s="34">
        <f>AVERAGE(H225:H227)</f>
        <v>2.1666666666666665</v>
      </c>
      <c r="L228" s="12" t="s">
        <v>6</v>
      </c>
    </row>
    <row r="229" spans="2:12" ht="14.6" thickBot="1" x14ac:dyDescent="0.4"/>
    <row r="230" spans="2:12" s="4" customFormat="1" ht="14.6" thickBot="1" x14ac:dyDescent="0.4">
      <c r="B230" s="80" t="s">
        <v>185</v>
      </c>
      <c r="C230" s="81" t="s">
        <v>312</v>
      </c>
      <c r="D230" s="81" t="s">
        <v>315</v>
      </c>
      <c r="E230" s="81" t="s">
        <v>316</v>
      </c>
      <c r="F230" s="81" t="s">
        <v>317</v>
      </c>
      <c r="G230" s="82">
        <v>6.0516000000000005</v>
      </c>
      <c r="H230" s="82">
        <v>0.99350000000000049</v>
      </c>
      <c r="I230" s="81" t="s">
        <v>87</v>
      </c>
      <c r="J230" s="82">
        <v>6.0516000000000005</v>
      </c>
      <c r="K230" s="82">
        <v>0.99350000000000049</v>
      </c>
      <c r="L230" s="84" t="s">
        <v>19</v>
      </c>
    </row>
    <row r="231" spans="2:12" x14ac:dyDescent="0.35">
      <c r="E231" s="2" t="s">
        <v>515</v>
      </c>
      <c r="G231" s="25">
        <v>6.0516000000000005</v>
      </c>
      <c r="H231" s="25">
        <v>0.99350000000000049</v>
      </c>
      <c r="L231" s="11" t="s">
        <v>19</v>
      </c>
    </row>
    <row r="232" spans="2:12" ht="14.6" thickBot="1" x14ac:dyDescent="0.4"/>
    <row r="233" spans="2:12" s="4" customFormat="1" x14ac:dyDescent="0.35">
      <c r="B233" s="20" t="s">
        <v>185</v>
      </c>
      <c r="C233" s="21" t="s">
        <v>312</v>
      </c>
      <c r="D233" s="21" t="s">
        <v>315</v>
      </c>
      <c r="E233" s="21" t="s">
        <v>318</v>
      </c>
      <c r="F233" s="21" t="s">
        <v>319</v>
      </c>
      <c r="G233" s="22">
        <v>4.2511017100000004</v>
      </c>
      <c r="H233" s="22">
        <v>0.88968684200000003</v>
      </c>
      <c r="I233" s="21" t="s">
        <v>30</v>
      </c>
      <c r="J233" s="22">
        <v>4.2511017100000004</v>
      </c>
      <c r="K233" s="22">
        <v>0.88968684200000003</v>
      </c>
      <c r="L233" s="35" t="s">
        <v>19</v>
      </c>
    </row>
    <row r="234" spans="2:12" s="4" customFormat="1" x14ac:dyDescent="0.35">
      <c r="B234" s="24" t="s">
        <v>185</v>
      </c>
      <c r="C234" s="4" t="s">
        <v>312</v>
      </c>
      <c r="D234" s="4" t="s">
        <v>315</v>
      </c>
      <c r="E234" s="4" t="s">
        <v>320</v>
      </c>
      <c r="F234" s="4" t="s">
        <v>321</v>
      </c>
      <c r="G234" s="25">
        <v>5.5230496082953309</v>
      </c>
      <c r="H234" s="25">
        <v>4.9251980505066664</v>
      </c>
      <c r="I234" s="4" t="s">
        <v>66</v>
      </c>
      <c r="J234" s="25">
        <v>5.5230496082953309</v>
      </c>
      <c r="K234" s="25">
        <v>4.9251980505066664</v>
      </c>
      <c r="L234" s="29" t="s">
        <v>6</v>
      </c>
    </row>
    <row r="235" spans="2:12" s="4" customFormat="1" x14ac:dyDescent="0.35">
      <c r="B235" s="24" t="s">
        <v>185</v>
      </c>
      <c r="C235" s="4" t="s">
        <v>312</v>
      </c>
      <c r="D235" s="4" t="s">
        <v>315</v>
      </c>
      <c r="E235" s="4" t="s">
        <v>320</v>
      </c>
      <c r="F235" s="4" t="s">
        <v>322</v>
      </c>
      <c r="G235" s="25">
        <v>5.8102292859296156</v>
      </c>
      <c r="H235" s="25">
        <v>5.7125808431266663</v>
      </c>
      <c r="I235" s="4" t="s">
        <v>13</v>
      </c>
      <c r="J235" s="25">
        <f>AVERAGE(G235,G236)</f>
        <v>5.4136394471124749</v>
      </c>
      <c r="K235" s="25">
        <f>AVERAGE(H235,H236)</f>
        <v>5.4783894468166663</v>
      </c>
      <c r="L235" s="28" t="s">
        <v>8</v>
      </c>
    </row>
    <row r="236" spans="2:12" s="4" customFormat="1" ht="14.6" thickBot="1" x14ac:dyDescent="0.4">
      <c r="B236" s="30" t="s">
        <v>185</v>
      </c>
      <c r="C236" s="31" t="s">
        <v>312</v>
      </c>
      <c r="D236" s="31" t="s">
        <v>315</v>
      </c>
      <c r="E236" s="31" t="s">
        <v>320</v>
      </c>
      <c r="F236" s="31" t="s">
        <v>322</v>
      </c>
      <c r="G236" s="32">
        <v>5.0170496082953342</v>
      </c>
      <c r="H236" s="32">
        <v>5.2441980505066663</v>
      </c>
      <c r="I236" s="31" t="s">
        <v>15</v>
      </c>
      <c r="J236" s="32"/>
      <c r="K236" s="32"/>
      <c r="L236" s="40"/>
    </row>
    <row r="237" spans="2:12" x14ac:dyDescent="0.35">
      <c r="E237" s="2" t="s">
        <v>516</v>
      </c>
      <c r="G237" s="34">
        <f>AVERAGE(G233:G236)</f>
        <v>5.1503575531300703</v>
      </c>
      <c r="H237" s="34">
        <f>AVERAGE(H233:H236)</f>
        <v>4.192915946534999</v>
      </c>
      <c r="L237" s="12" t="s">
        <v>6</v>
      </c>
    </row>
    <row r="238" spans="2:12" ht="14.6" thickBot="1" x14ac:dyDescent="0.4"/>
    <row r="239" spans="2:12" s="4" customFormat="1" ht="14.6" thickBot="1" x14ac:dyDescent="0.4">
      <c r="B239" s="80" t="s">
        <v>185</v>
      </c>
      <c r="C239" s="81" t="s">
        <v>312</v>
      </c>
      <c r="D239" s="81" t="s">
        <v>326</v>
      </c>
      <c r="E239" s="81" t="s">
        <v>323</v>
      </c>
      <c r="F239" s="81" t="s">
        <v>327</v>
      </c>
      <c r="G239" s="82">
        <v>4.7001698254853181</v>
      </c>
      <c r="H239" s="82">
        <v>5.9879023944444452</v>
      </c>
      <c r="I239" s="81" t="s">
        <v>94</v>
      </c>
      <c r="J239" s="82">
        <v>4.7001698254853181</v>
      </c>
      <c r="K239" s="82">
        <v>5.9879023944444452</v>
      </c>
      <c r="L239" s="83" t="s">
        <v>8</v>
      </c>
    </row>
    <row r="240" spans="2:12" x14ac:dyDescent="0.35">
      <c r="E240" s="2" t="s">
        <v>517</v>
      </c>
      <c r="G240" s="25">
        <v>4.7001698254853181</v>
      </c>
      <c r="H240" s="25">
        <v>5.9879023944444452</v>
      </c>
      <c r="L240" s="10" t="s">
        <v>8</v>
      </c>
    </row>
    <row r="241" spans="2:12" ht="14.6" thickBot="1" x14ac:dyDescent="0.4"/>
    <row r="242" spans="2:12" s="4" customFormat="1" x14ac:dyDescent="0.35">
      <c r="B242" s="20" t="s">
        <v>185</v>
      </c>
      <c r="C242" s="21" t="s">
        <v>312</v>
      </c>
      <c r="D242" s="21" t="s">
        <v>326</v>
      </c>
      <c r="E242" s="21" t="s">
        <v>328</v>
      </c>
      <c r="F242" s="21" t="s">
        <v>329</v>
      </c>
      <c r="G242" s="22">
        <v>6.0730496082953316</v>
      </c>
      <c r="H242" s="22">
        <v>5.1051980505066661</v>
      </c>
      <c r="I242" s="21" t="s">
        <v>66</v>
      </c>
      <c r="J242" s="22">
        <f>AVERAGE(G242,G243)</f>
        <v>5.3980496082953326</v>
      </c>
      <c r="K242" s="22">
        <f>AVERAGE(H242,H243)</f>
        <v>5.1961980505066663</v>
      </c>
      <c r="L242" s="23" t="s">
        <v>8</v>
      </c>
    </row>
    <row r="243" spans="2:12" s="4" customFormat="1" x14ac:dyDescent="0.35">
      <c r="B243" s="24" t="s">
        <v>185</v>
      </c>
      <c r="C243" s="4" t="s">
        <v>312</v>
      </c>
      <c r="D243" s="4" t="s">
        <v>326</v>
      </c>
      <c r="E243" s="4" t="s">
        <v>328</v>
      </c>
      <c r="F243" s="4" t="s">
        <v>329</v>
      </c>
      <c r="G243" s="25">
        <v>4.7230496082953337</v>
      </c>
      <c r="H243" s="25">
        <v>5.2871980505066656</v>
      </c>
      <c r="I243" s="4" t="s">
        <v>15</v>
      </c>
      <c r="J243" s="25"/>
      <c r="K243" s="25"/>
      <c r="L243" s="27"/>
    </row>
    <row r="244" spans="2:12" s="4" customFormat="1" x14ac:dyDescent="0.35">
      <c r="B244" s="24" t="s">
        <v>185</v>
      </c>
      <c r="C244" s="4" t="s">
        <v>312</v>
      </c>
      <c r="D244" s="4" t="s">
        <v>326</v>
      </c>
      <c r="E244" s="4" t="s">
        <v>328</v>
      </c>
      <c r="F244" s="4" t="s">
        <v>330</v>
      </c>
      <c r="G244" s="25">
        <v>3.0517978668529544</v>
      </c>
      <c r="H244" s="25">
        <v>5.9970944116450005</v>
      </c>
      <c r="I244" s="4" t="s">
        <v>13</v>
      </c>
      <c r="J244" s="25">
        <v>3.0517978668529544</v>
      </c>
      <c r="K244" s="25">
        <v>5.9970944116450005</v>
      </c>
      <c r="L244" s="28" t="s">
        <v>8</v>
      </c>
    </row>
    <row r="245" spans="2:12" s="4" customFormat="1" x14ac:dyDescent="0.35">
      <c r="B245" s="24" t="s">
        <v>185</v>
      </c>
      <c r="C245" s="4" t="s">
        <v>312</v>
      </c>
      <c r="D245" s="4" t="s">
        <v>326</v>
      </c>
      <c r="E245" s="4" t="s">
        <v>328</v>
      </c>
      <c r="F245" s="4" t="s">
        <v>331</v>
      </c>
      <c r="G245" s="25">
        <v>4.7176335205594384</v>
      </c>
      <c r="H245" s="25">
        <v>7.7957421690331579</v>
      </c>
      <c r="I245" s="4" t="s">
        <v>12</v>
      </c>
      <c r="J245" s="25">
        <f>AVERAGE(G245,G246)</f>
        <v>6.1003167602797195</v>
      </c>
      <c r="K245" s="25">
        <f>AVERAGE(H245,H246)</f>
        <v>5.6044210845165789</v>
      </c>
      <c r="L245" s="28" t="s">
        <v>8</v>
      </c>
    </row>
    <row r="246" spans="2:12" s="4" customFormat="1" x14ac:dyDescent="0.35">
      <c r="B246" s="24" t="s">
        <v>185</v>
      </c>
      <c r="C246" s="4" t="s">
        <v>312</v>
      </c>
      <c r="D246" s="4" t="s">
        <v>326</v>
      </c>
      <c r="E246" s="4" t="s">
        <v>328</v>
      </c>
      <c r="F246" s="4" t="s">
        <v>331</v>
      </c>
      <c r="G246" s="25">
        <v>7.4830000000000005</v>
      </c>
      <c r="H246" s="25">
        <v>3.4131</v>
      </c>
      <c r="I246" s="4" t="s">
        <v>88</v>
      </c>
      <c r="J246" s="25"/>
      <c r="K246" s="25"/>
      <c r="L246" s="27"/>
    </row>
    <row r="247" spans="2:12" s="4" customFormat="1" x14ac:dyDescent="0.35">
      <c r="B247" s="24" t="s">
        <v>185</v>
      </c>
      <c r="C247" s="4" t="s">
        <v>312</v>
      </c>
      <c r="D247" s="4" t="s">
        <v>326</v>
      </c>
      <c r="E247" s="4" t="s">
        <v>328</v>
      </c>
      <c r="F247" s="4" t="s">
        <v>332</v>
      </c>
      <c r="G247" s="25">
        <v>3.208716190691522</v>
      </c>
      <c r="H247" s="25">
        <v>5.7519803439999997</v>
      </c>
      <c r="I247" s="4" t="s">
        <v>13</v>
      </c>
      <c r="J247" s="25">
        <f>AVERAGE(G247,G248,G249)</f>
        <v>4.2819219329956182</v>
      </c>
      <c r="K247" s="25">
        <f>AVERAGE(H247,H248,H249)</f>
        <v>6.0537261315022226</v>
      </c>
      <c r="L247" s="28" t="s">
        <v>8</v>
      </c>
    </row>
    <row r="248" spans="2:12" s="4" customFormat="1" x14ac:dyDescent="0.35">
      <c r="B248" s="24" t="s">
        <v>185</v>
      </c>
      <c r="C248" s="4" t="s">
        <v>312</v>
      </c>
      <c r="D248" s="4" t="s">
        <v>326</v>
      </c>
      <c r="E248" s="4" t="s">
        <v>328</v>
      </c>
      <c r="F248" s="4" t="s">
        <v>332</v>
      </c>
      <c r="G248" s="25">
        <v>4.9470496082953339</v>
      </c>
      <c r="H248" s="25">
        <v>5.8411980505066659</v>
      </c>
      <c r="I248" s="4" t="s">
        <v>15</v>
      </c>
      <c r="J248" s="25"/>
      <c r="K248" s="25"/>
      <c r="L248" s="27"/>
    </row>
    <row r="249" spans="2:12" s="4" customFormat="1" x14ac:dyDescent="0.35">
      <c r="B249" s="24" t="s">
        <v>185</v>
      </c>
      <c r="C249" s="4" t="s">
        <v>312</v>
      </c>
      <c r="D249" s="4" t="s">
        <v>326</v>
      </c>
      <c r="E249" s="4" t="s">
        <v>328</v>
      </c>
      <c r="F249" s="4" t="s">
        <v>332</v>
      </c>
      <c r="G249" s="25">
        <v>4.6899999999999977</v>
      </c>
      <c r="H249" s="25">
        <v>6.5680000000000005</v>
      </c>
      <c r="I249" s="4" t="s">
        <v>87</v>
      </c>
      <c r="J249" s="25"/>
      <c r="K249" s="25"/>
      <c r="L249" s="27"/>
    </row>
    <row r="250" spans="2:12" s="4" customFormat="1" ht="14.6" thickBot="1" x14ac:dyDescent="0.4">
      <c r="B250" s="30" t="s">
        <v>185</v>
      </c>
      <c r="C250" s="31" t="s">
        <v>312</v>
      </c>
      <c r="D250" s="31" t="s">
        <v>326</v>
      </c>
      <c r="E250" s="31" t="s">
        <v>328</v>
      </c>
      <c r="F250" s="31" t="s">
        <v>333</v>
      </c>
      <c r="G250" s="32">
        <v>2.3918483335486691</v>
      </c>
      <c r="H250" s="32">
        <v>3.9879470106666668</v>
      </c>
      <c r="I250" s="31" t="s">
        <v>13</v>
      </c>
      <c r="J250" s="32">
        <v>2.3918483335486691</v>
      </c>
      <c r="K250" s="32">
        <v>3.9879470106666668</v>
      </c>
      <c r="L250" s="78" t="s">
        <v>6</v>
      </c>
    </row>
    <row r="251" spans="2:12" x14ac:dyDescent="0.35">
      <c r="E251" s="2" t="s">
        <v>518</v>
      </c>
      <c r="G251" s="34">
        <f>AVERAGE(G242:G250)</f>
        <v>4.5873494151709524</v>
      </c>
      <c r="H251" s="34">
        <f>AVERAGE(H242:H250)</f>
        <v>5.52749534298498</v>
      </c>
      <c r="L251" s="10" t="s">
        <v>8</v>
      </c>
    </row>
    <row r="252" spans="2:12" ht="14.6" thickBot="1" x14ac:dyDescent="0.4"/>
    <row r="253" spans="2:12" s="4" customFormat="1" ht="14.6" thickBot="1" x14ac:dyDescent="0.4">
      <c r="B253" s="80" t="s">
        <v>185</v>
      </c>
      <c r="C253" s="81" t="s">
        <v>312</v>
      </c>
      <c r="D253" s="81" t="s">
        <v>326</v>
      </c>
      <c r="E253" s="81" t="s">
        <v>334</v>
      </c>
      <c r="F253" s="81" t="s">
        <v>335</v>
      </c>
      <c r="G253" s="82">
        <v>2.6666970508120045</v>
      </c>
      <c r="H253" s="82">
        <v>7.1212948372000007</v>
      </c>
      <c r="I253" s="81" t="s">
        <v>182</v>
      </c>
      <c r="J253" s="82">
        <v>2.6666970508120045</v>
      </c>
      <c r="K253" s="82">
        <v>7.1212948372000007</v>
      </c>
      <c r="L253" s="83" t="s">
        <v>8</v>
      </c>
    </row>
    <row r="254" spans="2:12" x14ac:dyDescent="0.35">
      <c r="E254" s="2" t="s">
        <v>519</v>
      </c>
      <c r="G254" s="25">
        <v>2.6666970508120045</v>
      </c>
      <c r="H254" s="25">
        <v>7.1212948372000007</v>
      </c>
      <c r="L254" s="10" t="s">
        <v>8</v>
      </c>
    </row>
    <row r="255" spans="2:12" ht="14.6" thickBot="1" x14ac:dyDescent="0.4"/>
    <row r="256" spans="2:12" s="4" customFormat="1" ht="14.6" thickBot="1" x14ac:dyDescent="0.4">
      <c r="B256" s="80" t="s">
        <v>185</v>
      </c>
      <c r="C256" s="81" t="s">
        <v>312</v>
      </c>
      <c r="D256" s="81" t="s">
        <v>326</v>
      </c>
      <c r="E256" s="81" t="s">
        <v>336</v>
      </c>
      <c r="F256" s="81" t="s">
        <v>337</v>
      </c>
      <c r="G256" s="82">
        <v>4.4559193700000002</v>
      </c>
      <c r="H256" s="82">
        <v>5.6937833329999998</v>
      </c>
      <c r="I256" s="81" t="s">
        <v>30</v>
      </c>
      <c r="J256" s="82">
        <v>4.4559193700000002</v>
      </c>
      <c r="K256" s="82">
        <v>5.6937833329999998</v>
      </c>
      <c r="L256" s="83" t="s">
        <v>8</v>
      </c>
    </row>
    <row r="257" spans="2:12" x14ac:dyDescent="0.35">
      <c r="E257" s="2" t="s">
        <v>520</v>
      </c>
      <c r="G257" s="25">
        <v>4.4559193700000002</v>
      </c>
      <c r="H257" s="25">
        <v>5.6937833329999998</v>
      </c>
      <c r="L257" s="10" t="s">
        <v>8</v>
      </c>
    </row>
    <row r="258" spans="2:12" ht="14.6" thickBot="1" x14ac:dyDescent="0.4"/>
    <row r="259" spans="2:12" s="4" customFormat="1" x14ac:dyDescent="0.35">
      <c r="B259" s="20" t="s">
        <v>185</v>
      </c>
      <c r="C259" s="21" t="s">
        <v>312</v>
      </c>
      <c r="D259" s="21" t="s">
        <v>326</v>
      </c>
      <c r="E259" s="21" t="s">
        <v>338</v>
      </c>
      <c r="F259" s="21" t="s">
        <v>339</v>
      </c>
      <c r="G259" s="22">
        <v>6.1930496082953326</v>
      </c>
      <c r="H259" s="22">
        <v>7.6851980505066662</v>
      </c>
      <c r="I259" s="21" t="s">
        <v>66</v>
      </c>
      <c r="J259" s="22">
        <f>AVERAGE(G259,G260,G261)</f>
        <v>4.9959320891342243</v>
      </c>
      <c r="K259" s="22">
        <f>AVERAGE(H259,H260,H261)</f>
        <v>7.3025636460711114</v>
      </c>
      <c r="L259" s="23" t="s">
        <v>8</v>
      </c>
    </row>
    <row r="260" spans="2:12" s="4" customFormat="1" x14ac:dyDescent="0.35">
      <c r="B260" s="24" t="s">
        <v>185</v>
      </c>
      <c r="C260" s="4" t="s">
        <v>312</v>
      </c>
      <c r="D260" s="4" t="s">
        <v>326</v>
      </c>
      <c r="E260" s="4" t="s">
        <v>338</v>
      </c>
      <c r="F260" s="4" t="s">
        <v>339</v>
      </c>
      <c r="G260" s="25">
        <v>4.3566970508120058</v>
      </c>
      <c r="H260" s="25">
        <v>6.9212948372000014</v>
      </c>
      <c r="I260" s="4" t="s">
        <v>182</v>
      </c>
      <c r="J260" s="25"/>
      <c r="K260" s="25"/>
      <c r="L260" s="27"/>
    </row>
    <row r="261" spans="2:12" s="4" customFormat="1" ht="14.6" thickBot="1" x14ac:dyDescent="0.4">
      <c r="B261" s="30" t="s">
        <v>185</v>
      </c>
      <c r="C261" s="31" t="s">
        <v>312</v>
      </c>
      <c r="D261" s="31" t="s">
        <v>326</v>
      </c>
      <c r="E261" s="31" t="s">
        <v>338</v>
      </c>
      <c r="F261" s="31" t="s">
        <v>339</v>
      </c>
      <c r="G261" s="32">
        <v>4.4380496082953336</v>
      </c>
      <c r="H261" s="32">
        <v>7.3011980505066667</v>
      </c>
      <c r="I261" s="31" t="s">
        <v>15</v>
      </c>
      <c r="J261" s="32"/>
      <c r="K261" s="32"/>
      <c r="L261" s="40"/>
    </row>
    <row r="262" spans="2:12" x14ac:dyDescent="0.35">
      <c r="E262" s="2" t="s">
        <v>521</v>
      </c>
      <c r="G262" s="34">
        <f>AVERAGE(G259:G261)</f>
        <v>4.9959320891342243</v>
      </c>
      <c r="H262" s="34">
        <f>AVERAGE(H259:H261)</f>
        <v>7.3025636460711114</v>
      </c>
      <c r="L262" s="10" t="s">
        <v>8</v>
      </c>
    </row>
    <row r="263" spans="2:12" ht="14.6" thickBot="1" x14ac:dyDescent="0.4"/>
    <row r="264" spans="2:12" s="4" customFormat="1" ht="17.149999999999999" thickBot="1" x14ac:dyDescent="0.55000000000000004">
      <c r="B264" s="80" t="s">
        <v>185</v>
      </c>
      <c r="C264" s="81" t="s">
        <v>312</v>
      </c>
      <c r="D264" s="81" t="s">
        <v>326</v>
      </c>
      <c r="E264" s="81" t="s">
        <v>340</v>
      </c>
      <c r="F264" s="81" t="s">
        <v>341</v>
      </c>
      <c r="G264" s="82">
        <v>7.9853748798952982</v>
      </c>
      <c r="H264" s="82">
        <v>4.0528458809999997</v>
      </c>
      <c r="I264" s="81" t="s">
        <v>126</v>
      </c>
      <c r="J264" s="82">
        <v>7.9853748798952982</v>
      </c>
      <c r="K264" s="82">
        <v>4.0528458809999997</v>
      </c>
      <c r="L264" s="88" t="s">
        <v>604</v>
      </c>
    </row>
    <row r="265" spans="2:12" ht="16.75" x14ac:dyDescent="0.5">
      <c r="E265" s="2" t="s">
        <v>522</v>
      </c>
      <c r="G265" s="25">
        <v>7.9853748798952982</v>
      </c>
      <c r="H265" s="25">
        <v>4.0528458809999997</v>
      </c>
      <c r="L265" s="13" t="s">
        <v>605</v>
      </c>
    </row>
    <row r="266" spans="2:12" ht="14.6" thickBot="1" x14ac:dyDescent="0.4"/>
    <row r="267" spans="2:12" s="4" customFormat="1" x14ac:dyDescent="0.35">
      <c r="B267" s="20" t="s">
        <v>185</v>
      </c>
      <c r="C267" s="21" t="s">
        <v>354</v>
      </c>
      <c r="D267" s="21" t="s">
        <v>356</v>
      </c>
      <c r="E267" s="21" t="s">
        <v>358</v>
      </c>
      <c r="F267" s="21" t="s">
        <v>359</v>
      </c>
      <c r="G267" s="22">
        <v>5.1230496082953323</v>
      </c>
      <c r="H267" s="22">
        <v>4.3551980505066661</v>
      </c>
      <c r="I267" s="21" t="s">
        <v>66</v>
      </c>
      <c r="J267" s="22">
        <v>5.1230496082953323</v>
      </c>
      <c r="K267" s="22">
        <v>4.3551980505066661</v>
      </c>
      <c r="L267" s="86" t="s">
        <v>6</v>
      </c>
    </row>
    <row r="268" spans="2:12" s="4" customFormat="1" x14ac:dyDescent="0.35">
      <c r="B268" s="24" t="s">
        <v>185</v>
      </c>
      <c r="C268" s="4" t="s">
        <v>354</v>
      </c>
      <c r="D268" s="4" t="s">
        <v>356</v>
      </c>
      <c r="E268" s="4" t="s">
        <v>358</v>
      </c>
      <c r="F268" s="4" t="s">
        <v>360</v>
      </c>
      <c r="G268" s="25">
        <v>4.3831280049999997</v>
      </c>
      <c r="H268" s="25">
        <v>5.6280333322500002</v>
      </c>
      <c r="I268" s="4" t="s">
        <v>30</v>
      </c>
      <c r="J268" s="25">
        <v>4.3831280049999997</v>
      </c>
      <c r="K268" s="25">
        <v>5.6280333322500002</v>
      </c>
      <c r="L268" s="28" t="s">
        <v>8</v>
      </c>
    </row>
    <row r="269" spans="2:12" s="4" customFormat="1" x14ac:dyDescent="0.35">
      <c r="B269" s="24" t="s">
        <v>185</v>
      </c>
      <c r="C269" s="4" t="s">
        <v>354</v>
      </c>
      <c r="D269" s="4" t="s">
        <v>356</v>
      </c>
      <c r="E269" s="4" t="s">
        <v>358</v>
      </c>
      <c r="F269" s="4" t="s">
        <v>361</v>
      </c>
      <c r="G269" s="25">
        <v>4.9397181931205907</v>
      </c>
      <c r="H269" s="25">
        <v>2.85</v>
      </c>
      <c r="I269" s="4" t="s">
        <v>123</v>
      </c>
      <c r="J269" s="25">
        <f>AVERAGE(G269,G270,G271,G272,G273)</f>
        <v>3.6301712293563178</v>
      </c>
      <c r="K269" s="25">
        <f>AVERAGE(H269,H270,H271,H272,H273)</f>
        <v>0.73161422020266653</v>
      </c>
      <c r="L269" s="26" t="s">
        <v>19</v>
      </c>
    </row>
    <row r="270" spans="2:12" s="4" customFormat="1" x14ac:dyDescent="0.35">
      <c r="B270" s="24" t="s">
        <v>185</v>
      </c>
      <c r="C270" s="4" t="s">
        <v>354</v>
      </c>
      <c r="D270" s="4" t="s">
        <v>356</v>
      </c>
      <c r="E270" s="4" t="s">
        <v>358</v>
      </c>
      <c r="F270" s="4" t="s">
        <v>361</v>
      </c>
      <c r="G270" s="25">
        <v>4.4064287194363878</v>
      </c>
      <c r="H270" s="25">
        <v>0.45280000000000031</v>
      </c>
      <c r="I270" s="4" t="s">
        <v>120</v>
      </c>
      <c r="J270" s="25"/>
      <c r="K270" s="25"/>
      <c r="L270" s="27"/>
    </row>
    <row r="271" spans="2:12" s="4" customFormat="1" x14ac:dyDescent="0.35">
      <c r="B271" s="24" t="s">
        <v>185</v>
      </c>
      <c r="C271" s="4" t="s">
        <v>354</v>
      </c>
      <c r="D271" s="4" t="s">
        <v>356</v>
      </c>
      <c r="E271" s="4" t="s">
        <v>358</v>
      </c>
      <c r="F271" s="4" t="s">
        <v>361</v>
      </c>
      <c r="G271" s="25">
        <v>4.4730496082953337</v>
      </c>
      <c r="H271" s="25">
        <v>1.1251980505066663</v>
      </c>
      <c r="I271" s="4" t="s">
        <v>66</v>
      </c>
      <c r="J271" s="25"/>
      <c r="K271" s="25"/>
      <c r="L271" s="27"/>
    </row>
    <row r="272" spans="2:12" s="4" customFormat="1" x14ac:dyDescent="0.35">
      <c r="B272" s="24" t="s">
        <v>185</v>
      </c>
      <c r="C272" s="4" t="s">
        <v>354</v>
      </c>
      <c r="D272" s="4" t="s">
        <v>356</v>
      </c>
      <c r="E272" s="4" t="s">
        <v>358</v>
      </c>
      <c r="F272" s="4" t="s">
        <v>361</v>
      </c>
      <c r="G272" s="25">
        <v>2.7650496082953335</v>
      </c>
      <c r="H272" s="25">
        <v>-1.9608019494933342</v>
      </c>
      <c r="I272" s="4" t="s">
        <v>15</v>
      </c>
      <c r="J272" s="25"/>
      <c r="K272" s="25"/>
      <c r="L272" s="27"/>
    </row>
    <row r="273" spans="2:12" s="4" customFormat="1" x14ac:dyDescent="0.35">
      <c r="B273" s="24" t="s">
        <v>185</v>
      </c>
      <c r="C273" s="4" t="s">
        <v>354</v>
      </c>
      <c r="D273" s="4" t="s">
        <v>356</v>
      </c>
      <c r="E273" s="4" t="s">
        <v>358</v>
      </c>
      <c r="F273" s="4" t="s">
        <v>361</v>
      </c>
      <c r="G273" s="25">
        <v>1.5666100176339448</v>
      </c>
      <c r="H273" s="25">
        <v>1.1908749999999997</v>
      </c>
      <c r="I273" s="4" t="s">
        <v>16</v>
      </c>
      <c r="J273" s="25"/>
      <c r="K273" s="25"/>
      <c r="L273" s="27"/>
    </row>
    <row r="274" spans="2:12" s="4" customFormat="1" x14ac:dyDescent="0.35">
      <c r="B274" s="24" t="s">
        <v>185</v>
      </c>
      <c r="C274" s="4" t="s">
        <v>354</v>
      </c>
      <c r="D274" s="4" t="s">
        <v>356</v>
      </c>
      <c r="E274" s="4" t="s">
        <v>358</v>
      </c>
      <c r="F274" s="4" t="s">
        <v>362</v>
      </c>
      <c r="G274" s="25">
        <v>4.2338644840447586</v>
      </c>
      <c r="H274" s="25">
        <v>0.31440000000000001</v>
      </c>
      <c r="I274" s="4" t="s">
        <v>210</v>
      </c>
      <c r="J274" s="25">
        <f>AVERAGE(G274,G275)</f>
        <v>3.5506405753557129</v>
      </c>
      <c r="K274" s="25">
        <f>AVERAGE(H274,H275)</f>
        <v>4.2658333333333687E-2</v>
      </c>
      <c r="L274" s="26" t="s">
        <v>19</v>
      </c>
    </row>
    <row r="275" spans="2:12" s="4" customFormat="1" x14ac:dyDescent="0.35">
      <c r="B275" s="24" t="s">
        <v>185</v>
      </c>
      <c r="C275" s="4" t="s">
        <v>354</v>
      </c>
      <c r="D275" s="4" t="s">
        <v>356</v>
      </c>
      <c r="E275" s="4" t="s">
        <v>358</v>
      </c>
      <c r="F275" s="4" t="s">
        <v>362</v>
      </c>
      <c r="G275" s="25">
        <v>2.8674166666666672</v>
      </c>
      <c r="H275" s="25">
        <v>-0.22908333333333264</v>
      </c>
      <c r="I275" s="4" t="s">
        <v>10</v>
      </c>
      <c r="J275" s="25"/>
      <c r="K275" s="25"/>
      <c r="L275" s="27"/>
    </row>
    <row r="276" spans="2:12" s="4" customFormat="1" x14ac:dyDescent="0.35">
      <c r="B276" s="24" t="s">
        <v>185</v>
      </c>
      <c r="C276" s="4" t="s">
        <v>354</v>
      </c>
      <c r="D276" s="4" t="s">
        <v>356</v>
      </c>
      <c r="E276" s="4" t="s">
        <v>358</v>
      </c>
      <c r="F276" s="4" t="s">
        <v>363</v>
      </c>
      <c r="G276" s="25">
        <v>4.0010018054552976</v>
      </c>
      <c r="H276" s="25">
        <v>-1.3760856679200009</v>
      </c>
      <c r="I276" s="4" t="s">
        <v>126</v>
      </c>
      <c r="J276" s="25">
        <f>AVERAGE(G276,G277,G278,G279)</f>
        <v>3.6580488067082935</v>
      </c>
      <c r="K276" s="25">
        <f>AVERAGE(H276,H277,H278,H279)</f>
        <v>0.80998927316501002</v>
      </c>
      <c r="L276" s="26" t="s">
        <v>19</v>
      </c>
    </row>
    <row r="277" spans="2:12" s="4" customFormat="1" x14ac:dyDescent="0.35">
      <c r="B277" s="24" t="s">
        <v>185</v>
      </c>
      <c r="C277" s="4" t="s">
        <v>354</v>
      </c>
      <c r="D277" s="4" t="s">
        <v>356</v>
      </c>
      <c r="E277" s="4" t="s">
        <v>358</v>
      </c>
      <c r="F277" s="4" t="s">
        <v>363</v>
      </c>
      <c r="G277" s="25">
        <v>4.1485438130825463</v>
      </c>
      <c r="H277" s="25">
        <v>4.6288447100733752</v>
      </c>
      <c r="I277" s="4" t="s">
        <v>12</v>
      </c>
      <c r="J277" s="25"/>
      <c r="K277" s="25"/>
      <c r="L277" s="27"/>
    </row>
    <row r="278" spans="2:12" s="4" customFormat="1" x14ac:dyDescent="0.35">
      <c r="B278" s="24" t="s">
        <v>185</v>
      </c>
      <c r="C278" s="4" t="s">
        <v>354</v>
      </c>
      <c r="D278" s="4" t="s">
        <v>356</v>
      </c>
      <c r="E278" s="4" t="s">
        <v>358</v>
      </c>
      <c r="F278" s="4" t="s">
        <v>363</v>
      </c>
      <c r="G278" s="25">
        <v>3.0350496082953335</v>
      </c>
      <c r="H278" s="25">
        <v>0.15019805050666601</v>
      </c>
      <c r="I278" s="4" t="s">
        <v>15</v>
      </c>
      <c r="J278" s="25"/>
      <c r="K278" s="25"/>
      <c r="L278" s="27"/>
    </row>
    <row r="279" spans="2:12" s="4" customFormat="1" ht="14.6" thickBot="1" x14ac:dyDescent="0.4">
      <c r="B279" s="30" t="s">
        <v>185</v>
      </c>
      <c r="C279" s="31" t="s">
        <v>354</v>
      </c>
      <c r="D279" s="31" t="s">
        <v>356</v>
      </c>
      <c r="E279" s="31" t="s">
        <v>358</v>
      </c>
      <c r="F279" s="31" t="s">
        <v>363</v>
      </c>
      <c r="G279" s="32">
        <v>3.4475999999999978</v>
      </c>
      <c r="H279" s="32">
        <v>-0.16300000000000026</v>
      </c>
      <c r="I279" s="31" t="s">
        <v>88</v>
      </c>
      <c r="J279" s="32"/>
      <c r="K279" s="32"/>
      <c r="L279" s="40"/>
    </row>
    <row r="280" spans="2:12" x14ac:dyDescent="0.35">
      <c r="E280" s="2" t="s">
        <v>523</v>
      </c>
      <c r="G280" s="34">
        <f>AVERAGE(G267:G279)</f>
        <v>3.7992700105862705</v>
      </c>
      <c r="H280" s="34">
        <f>AVERAGE(H267:H279)</f>
        <v>1.3051212494689775</v>
      </c>
      <c r="L280" s="11" t="s">
        <v>19</v>
      </c>
    </row>
    <row r="281" spans="2:12" ht="14.6" thickBot="1" x14ac:dyDescent="0.4"/>
    <row r="282" spans="2:12" s="4" customFormat="1" ht="14.6" thickBot="1" x14ac:dyDescent="0.4">
      <c r="B282" s="80" t="s">
        <v>185</v>
      </c>
      <c r="C282" s="81" t="s">
        <v>364</v>
      </c>
      <c r="D282" s="81" t="s">
        <v>367</v>
      </c>
      <c r="E282" s="81" t="s">
        <v>368</v>
      </c>
      <c r="F282" s="81" t="s">
        <v>369</v>
      </c>
      <c r="G282" s="82">
        <v>3.9030496082953334</v>
      </c>
      <c r="H282" s="82">
        <v>-4.8019494933340123E-3</v>
      </c>
      <c r="I282" s="81" t="s">
        <v>66</v>
      </c>
      <c r="J282" s="82">
        <v>3.9030496082953334</v>
      </c>
      <c r="K282" s="82">
        <v>-4.8019494933340123E-3</v>
      </c>
      <c r="L282" s="84" t="s">
        <v>19</v>
      </c>
    </row>
    <row r="283" spans="2:12" x14ac:dyDescent="0.35">
      <c r="E283" s="2" t="s">
        <v>524</v>
      </c>
      <c r="G283" s="25">
        <v>3.9030496082953334</v>
      </c>
      <c r="H283" s="25">
        <v>-4.8019494933340123E-3</v>
      </c>
      <c r="L283" s="11" t="s">
        <v>19</v>
      </c>
    </row>
    <row r="284" spans="2:12" ht="14.6" thickBot="1" x14ac:dyDescent="0.4"/>
    <row r="285" spans="2:12" s="4" customFormat="1" ht="14.6" thickBot="1" x14ac:dyDescent="0.4">
      <c r="B285" s="80" t="s">
        <v>185</v>
      </c>
      <c r="C285" s="81" t="s">
        <v>373</v>
      </c>
      <c r="D285" s="81" t="s">
        <v>374</v>
      </c>
      <c r="E285" s="81" t="s">
        <v>375</v>
      </c>
      <c r="F285" s="81" t="s">
        <v>376</v>
      </c>
      <c r="G285" s="82">
        <v>4.0499999999999972</v>
      </c>
      <c r="H285" s="82">
        <v>3.2</v>
      </c>
      <c r="I285" s="81" t="s">
        <v>22</v>
      </c>
      <c r="J285" s="82">
        <v>4.0499999999999972</v>
      </c>
      <c r="K285" s="82">
        <v>3.2</v>
      </c>
      <c r="L285" s="85" t="s">
        <v>6</v>
      </c>
    </row>
    <row r="286" spans="2:12" x14ac:dyDescent="0.35">
      <c r="E286" s="2" t="s">
        <v>525</v>
      </c>
      <c r="G286" s="25">
        <v>4.0499999999999972</v>
      </c>
      <c r="H286" s="25">
        <v>3.2</v>
      </c>
      <c r="L286" s="12" t="s">
        <v>6</v>
      </c>
    </row>
    <row r="287" spans="2:12" ht="14.6" thickBot="1" x14ac:dyDescent="0.4"/>
    <row r="288" spans="2:12" s="4" customFormat="1" x14ac:dyDescent="0.35">
      <c r="B288" s="20" t="s">
        <v>185</v>
      </c>
      <c r="C288" s="21" t="s">
        <v>370</v>
      </c>
      <c r="D288" s="21" t="s">
        <v>378</v>
      </c>
      <c r="E288" s="21" t="s">
        <v>379</v>
      </c>
      <c r="F288" s="21" t="s">
        <v>380</v>
      </c>
      <c r="G288" s="22">
        <v>2.92307514119112</v>
      </c>
      <c r="H288" s="22">
        <v>-6.3865385924401972</v>
      </c>
      <c r="I288" s="21" t="s">
        <v>218</v>
      </c>
      <c r="J288" s="22">
        <f>AVERAGE(G288,G289)</f>
        <v>2.6700319076372079</v>
      </c>
      <c r="K288" s="22">
        <f>AVERAGE(H288,H289)</f>
        <v>-5.8202692962200988</v>
      </c>
      <c r="L288" s="89" t="s">
        <v>82</v>
      </c>
    </row>
    <row r="289" spans="2:12" s="4" customFormat="1" x14ac:dyDescent="0.35">
      <c r="B289" s="24" t="s">
        <v>185</v>
      </c>
      <c r="C289" s="4" t="s">
        <v>370</v>
      </c>
      <c r="D289" s="4" t="s">
        <v>378</v>
      </c>
      <c r="E289" s="4" t="s">
        <v>379</v>
      </c>
      <c r="F289" s="4" t="s">
        <v>380</v>
      </c>
      <c r="G289" s="25">
        <v>2.4169886740832958</v>
      </c>
      <c r="H289" s="25">
        <v>-5.2540000000000004</v>
      </c>
      <c r="I289" s="4" t="s">
        <v>16</v>
      </c>
      <c r="J289" s="25"/>
      <c r="K289" s="25"/>
      <c r="L289" s="27"/>
    </row>
    <row r="290" spans="2:12" s="4" customFormat="1" ht="14.6" thickBot="1" x14ac:dyDescent="0.4">
      <c r="B290" s="30" t="s">
        <v>185</v>
      </c>
      <c r="C290" s="31" t="s">
        <v>370</v>
      </c>
      <c r="D290" s="31" t="s">
        <v>378</v>
      </c>
      <c r="E290" s="31" t="s">
        <v>379</v>
      </c>
      <c r="F290" s="31" t="s">
        <v>381</v>
      </c>
      <c r="G290" s="32">
        <v>5.1252999999999993</v>
      </c>
      <c r="H290" s="32">
        <v>0.39800000000000058</v>
      </c>
      <c r="I290" s="31" t="s">
        <v>87</v>
      </c>
      <c r="J290" s="32">
        <v>5.1252999999999993</v>
      </c>
      <c r="K290" s="32">
        <v>0.39800000000000058</v>
      </c>
      <c r="L290" s="33" t="s">
        <v>19</v>
      </c>
    </row>
    <row r="291" spans="2:12" x14ac:dyDescent="0.35">
      <c r="E291" s="2" t="s">
        <v>526</v>
      </c>
      <c r="G291" s="34">
        <f>AVERAGE(G288:G290)</f>
        <v>3.4884546050914715</v>
      </c>
      <c r="H291" s="34">
        <f>AVERAGE(H288:H290)</f>
        <v>-3.7475128641467328</v>
      </c>
      <c r="L291" s="14" t="s">
        <v>82</v>
      </c>
    </row>
    <row r="292" spans="2:12" ht="14.6" thickBot="1" x14ac:dyDescent="0.4"/>
    <row r="293" spans="2:12" s="4" customFormat="1" x14ac:dyDescent="0.35">
      <c r="B293" s="20" t="s">
        <v>185</v>
      </c>
      <c r="C293" s="21" t="s">
        <v>370</v>
      </c>
      <c r="D293" s="21" t="s">
        <v>383</v>
      </c>
      <c r="E293" s="21" t="s">
        <v>384</v>
      </c>
      <c r="F293" s="21" t="s">
        <v>385</v>
      </c>
      <c r="G293" s="22">
        <v>7.3341683817619678</v>
      </c>
      <c r="H293" s="22">
        <v>2.5099528296466662</v>
      </c>
      <c r="I293" s="21" t="s">
        <v>126</v>
      </c>
      <c r="J293" s="22">
        <f>AVERAGE(G293,G294)</f>
        <v>5.1867842531184225</v>
      </c>
      <c r="K293" s="22">
        <f>AVERAGE(H293,H294)</f>
        <v>1.1676764148233332</v>
      </c>
      <c r="L293" s="35" t="s">
        <v>19</v>
      </c>
    </row>
    <row r="294" spans="2:12" s="4" customFormat="1" x14ac:dyDescent="0.35">
      <c r="B294" s="24" t="s">
        <v>185</v>
      </c>
      <c r="C294" s="4" t="s">
        <v>370</v>
      </c>
      <c r="D294" s="4" t="s">
        <v>383</v>
      </c>
      <c r="E294" s="4" t="s">
        <v>384</v>
      </c>
      <c r="F294" s="4" t="s">
        <v>385</v>
      </c>
      <c r="G294" s="25">
        <v>3.0394001244748772</v>
      </c>
      <c r="H294" s="25">
        <v>-0.17460000000000001</v>
      </c>
      <c r="I294" s="4" t="s">
        <v>16</v>
      </c>
      <c r="J294" s="25"/>
      <c r="K294" s="25"/>
      <c r="L294" s="27"/>
    </row>
    <row r="295" spans="2:12" s="4" customFormat="1" x14ac:dyDescent="0.35">
      <c r="B295" s="24" t="s">
        <v>185</v>
      </c>
      <c r="C295" s="4" t="s">
        <v>370</v>
      </c>
      <c r="D295" s="4" t="s">
        <v>383</v>
      </c>
      <c r="E295" s="4" t="s">
        <v>384</v>
      </c>
      <c r="F295" s="4" t="s">
        <v>386</v>
      </c>
      <c r="G295" s="25">
        <v>4.9313816949152329</v>
      </c>
      <c r="H295" s="25">
        <v>3.4659623170685712</v>
      </c>
      <c r="I295" s="4" t="s">
        <v>12</v>
      </c>
      <c r="J295" s="25">
        <v>4.9313816949152329</v>
      </c>
      <c r="K295" s="25">
        <v>3.4659623170685712</v>
      </c>
      <c r="L295" s="29" t="s">
        <v>6</v>
      </c>
    </row>
    <row r="296" spans="2:12" s="4" customFormat="1" x14ac:dyDescent="0.35">
      <c r="B296" s="24" t="s">
        <v>185</v>
      </c>
      <c r="C296" s="4" t="s">
        <v>370</v>
      </c>
      <c r="D296" s="4" t="s">
        <v>383</v>
      </c>
      <c r="E296" s="4" t="s">
        <v>384</v>
      </c>
      <c r="F296" s="4" t="s">
        <v>387</v>
      </c>
      <c r="G296" s="25">
        <v>4.7858349550000021</v>
      </c>
      <c r="H296" s="25">
        <v>3.7431868420000001</v>
      </c>
      <c r="I296" s="4" t="s">
        <v>30</v>
      </c>
      <c r="J296" s="25">
        <v>4.7858349550000021</v>
      </c>
      <c r="K296" s="25">
        <v>3.7431868420000001</v>
      </c>
      <c r="L296" s="29" t="s">
        <v>6</v>
      </c>
    </row>
    <row r="297" spans="2:12" s="4" customFormat="1" x14ac:dyDescent="0.35">
      <c r="B297" s="24" t="s">
        <v>185</v>
      </c>
      <c r="C297" s="4" t="s">
        <v>370</v>
      </c>
      <c r="D297" s="4" t="s">
        <v>383</v>
      </c>
      <c r="E297" s="4" t="s">
        <v>384</v>
      </c>
      <c r="F297" s="4" t="s">
        <v>388</v>
      </c>
      <c r="G297" s="25">
        <v>4.6190496082953336</v>
      </c>
      <c r="H297" s="25">
        <v>1.5461980505066659</v>
      </c>
      <c r="I297" s="4" t="s">
        <v>15</v>
      </c>
      <c r="J297" s="25">
        <v>4.6190496082953336</v>
      </c>
      <c r="K297" s="25">
        <v>1.5461980505066659</v>
      </c>
      <c r="L297" s="26" t="s">
        <v>19</v>
      </c>
    </row>
    <row r="298" spans="2:12" s="4" customFormat="1" x14ac:dyDescent="0.35">
      <c r="B298" s="24" t="s">
        <v>185</v>
      </c>
      <c r="C298" s="4" t="s">
        <v>370</v>
      </c>
      <c r="D298" s="4" t="s">
        <v>383</v>
      </c>
      <c r="E298" s="4" t="s">
        <v>384</v>
      </c>
      <c r="F298" s="4" t="s">
        <v>389</v>
      </c>
      <c r="G298" s="25">
        <v>4.8617343555739687</v>
      </c>
      <c r="H298" s="25">
        <v>1.4710000000000001</v>
      </c>
      <c r="I298" s="4" t="s">
        <v>120</v>
      </c>
      <c r="J298" s="25">
        <f>AVERAGE(G298,G299,G300,G301)</f>
        <v>3.8586832682096848</v>
      </c>
      <c r="K298" s="25">
        <f>AVERAGE(H298,H299,H300,H301)</f>
        <v>3.2803065552600001</v>
      </c>
      <c r="L298" s="29" t="s">
        <v>6</v>
      </c>
    </row>
    <row r="299" spans="2:12" s="4" customFormat="1" x14ac:dyDescent="0.35">
      <c r="B299" s="24" t="s">
        <v>185</v>
      </c>
      <c r="C299" s="4" t="s">
        <v>370</v>
      </c>
      <c r="D299" s="4" t="s">
        <v>383</v>
      </c>
      <c r="E299" s="4" t="s">
        <v>384</v>
      </c>
      <c r="F299" s="4" t="s">
        <v>389</v>
      </c>
      <c r="G299" s="25">
        <v>5.803049608295332</v>
      </c>
      <c r="H299" s="25">
        <v>1.8351980505066663</v>
      </c>
      <c r="I299" s="4" t="s">
        <v>66</v>
      </c>
      <c r="J299" s="25"/>
      <c r="K299" s="25"/>
      <c r="L299" s="27"/>
    </row>
    <row r="300" spans="2:12" s="4" customFormat="1" x14ac:dyDescent="0.35">
      <c r="B300" s="24" t="s">
        <v>185</v>
      </c>
      <c r="C300" s="4" t="s">
        <v>370</v>
      </c>
      <c r="D300" s="4" t="s">
        <v>383</v>
      </c>
      <c r="E300" s="4" t="s">
        <v>384</v>
      </c>
      <c r="F300" s="4" t="s">
        <v>389</v>
      </c>
      <c r="G300" s="25">
        <v>3.0666970508120031</v>
      </c>
      <c r="H300" s="25">
        <v>5.3512948372000011</v>
      </c>
      <c r="I300" s="4" t="s">
        <v>182</v>
      </c>
      <c r="J300" s="25"/>
      <c r="K300" s="25"/>
      <c r="L300" s="27"/>
    </row>
    <row r="301" spans="2:12" s="4" customFormat="1" x14ac:dyDescent="0.35">
      <c r="B301" s="24" t="s">
        <v>185</v>
      </c>
      <c r="C301" s="4" t="s">
        <v>370</v>
      </c>
      <c r="D301" s="4" t="s">
        <v>383</v>
      </c>
      <c r="E301" s="4" t="s">
        <v>384</v>
      </c>
      <c r="F301" s="4" t="s">
        <v>389</v>
      </c>
      <c r="G301" s="25">
        <v>1.7032520581574353</v>
      </c>
      <c r="H301" s="25">
        <v>4.4637333333333329</v>
      </c>
      <c r="I301" s="4" t="s">
        <v>16</v>
      </c>
      <c r="J301" s="25"/>
      <c r="K301" s="25"/>
      <c r="L301" s="27"/>
    </row>
    <row r="302" spans="2:12" s="4" customFormat="1" x14ac:dyDescent="0.35">
      <c r="B302" s="24" t="s">
        <v>185</v>
      </c>
      <c r="C302" s="4" t="s">
        <v>370</v>
      </c>
      <c r="D302" s="4" t="s">
        <v>383</v>
      </c>
      <c r="E302" s="4" t="s">
        <v>384</v>
      </c>
      <c r="F302" s="4" t="s">
        <v>390</v>
      </c>
      <c r="G302" s="25">
        <v>5.2149999999999999</v>
      </c>
      <c r="H302" s="25">
        <v>3.1275000000000004</v>
      </c>
      <c r="I302" s="4" t="s">
        <v>87</v>
      </c>
      <c r="J302" s="25">
        <f>AVERAGE(G302,G303)</f>
        <v>4.7425499999999996</v>
      </c>
      <c r="K302" s="25">
        <f>AVERAGE(H302,H303)</f>
        <v>6.9843000000000011</v>
      </c>
      <c r="L302" s="28" t="s">
        <v>8</v>
      </c>
    </row>
    <row r="303" spans="2:12" s="4" customFormat="1" x14ac:dyDescent="0.35">
      <c r="B303" s="24" t="s">
        <v>185</v>
      </c>
      <c r="C303" s="4" t="s">
        <v>370</v>
      </c>
      <c r="D303" s="4" t="s">
        <v>383</v>
      </c>
      <c r="E303" s="4" t="s">
        <v>384</v>
      </c>
      <c r="F303" s="4" t="s">
        <v>390</v>
      </c>
      <c r="G303" s="25">
        <v>4.2700999999999993</v>
      </c>
      <c r="H303" s="25">
        <v>10.841100000000001</v>
      </c>
      <c r="I303" s="4" t="s">
        <v>88</v>
      </c>
      <c r="J303" s="25"/>
      <c r="K303" s="25"/>
      <c r="L303" s="27"/>
    </row>
    <row r="304" spans="2:12" s="4" customFormat="1" ht="16.75" x14ac:dyDescent="0.5">
      <c r="B304" s="24" t="s">
        <v>185</v>
      </c>
      <c r="C304" s="4" t="s">
        <v>370</v>
      </c>
      <c r="D304" s="4" t="s">
        <v>383</v>
      </c>
      <c r="E304" s="4" t="s">
        <v>384</v>
      </c>
      <c r="F304" s="4" t="s">
        <v>391</v>
      </c>
      <c r="G304" s="25">
        <v>7.6622331282152967</v>
      </c>
      <c r="H304" s="25">
        <v>3.8095148083999995</v>
      </c>
      <c r="I304" s="4" t="s">
        <v>126</v>
      </c>
      <c r="J304" s="25">
        <v>7.6622331282152967</v>
      </c>
      <c r="K304" s="25">
        <v>3.8095148083999995</v>
      </c>
      <c r="L304" s="36" t="s">
        <v>604</v>
      </c>
    </row>
    <row r="305" spans="2:12" s="4" customFormat="1" x14ac:dyDescent="0.35">
      <c r="B305" s="24" t="s">
        <v>185</v>
      </c>
      <c r="C305" s="4" t="s">
        <v>370</v>
      </c>
      <c r="D305" s="4" t="s">
        <v>383</v>
      </c>
      <c r="E305" s="4" t="s">
        <v>384</v>
      </c>
      <c r="F305" s="4" t="s">
        <v>392</v>
      </c>
      <c r="G305" s="25">
        <v>2.586963990000001</v>
      </c>
      <c r="H305" s="25">
        <v>0.83437197350000014</v>
      </c>
      <c r="I305" s="4" t="s">
        <v>30</v>
      </c>
      <c r="J305" s="25">
        <f>AVERAGE(G305,G306)</f>
        <v>2.7632697014285714</v>
      </c>
      <c r="K305" s="25">
        <f>AVERAGE(H305,H306)</f>
        <v>1.8438023053928576</v>
      </c>
      <c r="L305" s="29" t="s">
        <v>6</v>
      </c>
    </row>
    <row r="306" spans="2:12" s="4" customFormat="1" x14ac:dyDescent="0.35">
      <c r="B306" s="24" t="s">
        <v>185</v>
      </c>
      <c r="C306" s="4" t="s">
        <v>370</v>
      </c>
      <c r="D306" s="4" t="s">
        <v>383</v>
      </c>
      <c r="E306" s="4" t="s">
        <v>384</v>
      </c>
      <c r="F306" s="4" t="s">
        <v>392</v>
      </c>
      <c r="G306" s="25">
        <v>2.9395754128571419</v>
      </c>
      <c r="H306" s="25">
        <v>2.8532326372857151</v>
      </c>
      <c r="I306" s="4" t="s">
        <v>146</v>
      </c>
      <c r="J306" s="25"/>
      <c r="K306" s="25"/>
      <c r="L306" s="27"/>
    </row>
    <row r="307" spans="2:12" s="4" customFormat="1" ht="14.6" thickBot="1" x14ac:dyDescent="0.4">
      <c r="B307" s="30" t="s">
        <v>185</v>
      </c>
      <c r="C307" s="31" t="s">
        <v>572</v>
      </c>
      <c r="D307" s="31" t="s">
        <v>383</v>
      </c>
      <c r="E307" s="31" t="s">
        <v>384</v>
      </c>
      <c r="F307" s="31" t="s">
        <v>393</v>
      </c>
      <c r="G307" s="32">
        <v>6.0030496082953313</v>
      </c>
      <c r="H307" s="32">
        <v>4.6451980505066661</v>
      </c>
      <c r="I307" s="31" t="s">
        <v>66</v>
      </c>
      <c r="J307" s="32">
        <v>6.0030496082953313</v>
      </c>
      <c r="K307" s="32">
        <v>4.6451980505066661</v>
      </c>
      <c r="L307" s="78" t="s">
        <v>6</v>
      </c>
    </row>
    <row r="308" spans="2:12" x14ac:dyDescent="0.35">
      <c r="E308" s="2" t="s">
        <v>527</v>
      </c>
      <c r="G308" s="34">
        <f>AVERAGE(G293:G307)</f>
        <v>4.5880993317769292</v>
      </c>
      <c r="H308" s="34">
        <f>AVERAGE(H293:H307)</f>
        <v>3.3548562486636189</v>
      </c>
      <c r="L308" s="12" t="s">
        <v>6</v>
      </c>
    </row>
    <row r="309" spans="2:12" ht="14.6" thickBot="1" x14ac:dyDescent="0.4"/>
    <row r="310" spans="2:12" s="4" customFormat="1" x14ac:dyDescent="0.35">
      <c r="B310" s="20" t="s">
        <v>185</v>
      </c>
      <c r="C310" s="21" t="s">
        <v>370</v>
      </c>
      <c r="D310" s="21" t="s">
        <v>403</v>
      </c>
      <c r="E310" s="21" t="s">
        <v>404</v>
      </c>
      <c r="F310" s="21" t="s">
        <v>405</v>
      </c>
      <c r="G310" s="22">
        <v>3.2010811200000013</v>
      </c>
      <c r="H310" s="22">
        <v>2.3215499999999998</v>
      </c>
      <c r="I310" s="21" t="s">
        <v>30</v>
      </c>
      <c r="J310" s="22">
        <f>AVERAGE(G310,G311)</f>
        <v>3.0273244442857141</v>
      </c>
      <c r="K310" s="22">
        <f>AVERAGE(H310,H311)</f>
        <v>3.1377678572857146</v>
      </c>
      <c r="L310" s="86" t="s">
        <v>6</v>
      </c>
    </row>
    <row r="311" spans="2:12" s="4" customFormat="1" ht="14.6" thickBot="1" x14ac:dyDescent="0.4">
      <c r="B311" s="30" t="s">
        <v>185</v>
      </c>
      <c r="C311" s="31" t="s">
        <v>370</v>
      </c>
      <c r="D311" s="31" t="s">
        <v>403</v>
      </c>
      <c r="E311" s="31" t="s">
        <v>404</v>
      </c>
      <c r="F311" s="31" t="s">
        <v>405</v>
      </c>
      <c r="G311" s="32">
        <v>2.8535677685714269</v>
      </c>
      <c r="H311" s="32">
        <v>3.9539857145714294</v>
      </c>
      <c r="I311" s="31" t="s">
        <v>146</v>
      </c>
      <c r="J311" s="32"/>
      <c r="K311" s="32"/>
      <c r="L311" s="40"/>
    </row>
    <row r="312" spans="2:12" x14ac:dyDescent="0.35">
      <c r="E312" s="2" t="s">
        <v>528</v>
      </c>
      <c r="G312" s="34">
        <f>AVERAGE(G310:G311)</f>
        <v>3.0273244442857141</v>
      </c>
      <c r="H312" s="34">
        <f>AVERAGE(H310:H311)</f>
        <v>3.1377678572857146</v>
      </c>
      <c r="L312" s="12" t="s">
        <v>6</v>
      </c>
    </row>
    <row r="313" spans="2:12" ht="14.6" thickBot="1" x14ac:dyDescent="0.4"/>
    <row r="314" spans="2:12" s="4" customFormat="1" x14ac:dyDescent="0.35">
      <c r="B314" s="20" t="s">
        <v>185</v>
      </c>
      <c r="C314" s="21" t="s">
        <v>370</v>
      </c>
      <c r="D314" s="21" t="s">
        <v>414</v>
      </c>
      <c r="E314" s="21" t="s">
        <v>417</v>
      </c>
      <c r="F314" s="21" t="s">
        <v>418</v>
      </c>
      <c r="G314" s="22">
        <v>5.3330496082953331</v>
      </c>
      <c r="H314" s="22">
        <v>1.705198050506666</v>
      </c>
      <c r="I314" s="21" t="s">
        <v>66</v>
      </c>
      <c r="J314" s="22">
        <f>AVERAGE(G314,G315)</f>
        <v>3.428316792806628</v>
      </c>
      <c r="K314" s="22">
        <f>AVERAGE(H314,H315)</f>
        <v>2.6077656919199996</v>
      </c>
      <c r="L314" s="86" t="s">
        <v>6</v>
      </c>
    </row>
    <row r="315" spans="2:12" s="4" customFormat="1" x14ac:dyDescent="0.35">
      <c r="B315" s="24" t="s">
        <v>185</v>
      </c>
      <c r="C315" s="4" t="s">
        <v>370</v>
      </c>
      <c r="D315" s="4" t="s">
        <v>414</v>
      </c>
      <c r="E315" s="4" t="s">
        <v>417</v>
      </c>
      <c r="F315" s="4" t="s">
        <v>418</v>
      </c>
      <c r="G315" s="25">
        <v>1.5235839773179229</v>
      </c>
      <c r="H315" s="25">
        <v>3.5103333333333331</v>
      </c>
      <c r="I315" s="4" t="s">
        <v>16</v>
      </c>
      <c r="J315" s="25"/>
      <c r="K315" s="25"/>
      <c r="L315" s="27"/>
    </row>
    <row r="316" spans="2:12" s="4" customFormat="1" x14ac:dyDescent="0.35">
      <c r="B316" s="24" t="s">
        <v>185</v>
      </c>
      <c r="C316" s="4" t="s">
        <v>370</v>
      </c>
      <c r="D316" s="4" t="s">
        <v>414</v>
      </c>
      <c r="E316" s="4" t="s">
        <v>417</v>
      </c>
      <c r="F316" s="4" t="s">
        <v>419</v>
      </c>
      <c r="G316" s="25">
        <v>4.6711857566666666</v>
      </c>
      <c r="H316" s="25">
        <v>2.6645445693333332</v>
      </c>
      <c r="I316" s="4" t="s">
        <v>30</v>
      </c>
      <c r="J316" s="25">
        <v>4.6711857566666666</v>
      </c>
      <c r="K316" s="25">
        <v>2.6645445693333332</v>
      </c>
      <c r="L316" s="29" t="s">
        <v>6</v>
      </c>
    </row>
    <row r="317" spans="2:12" s="4" customFormat="1" ht="14.6" thickBot="1" x14ac:dyDescent="0.4">
      <c r="B317" s="30" t="s">
        <v>185</v>
      </c>
      <c r="C317" s="31" t="s">
        <v>370</v>
      </c>
      <c r="D317" s="31" t="s">
        <v>414</v>
      </c>
      <c r="E317" s="31" t="s">
        <v>417</v>
      </c>
      <c r="F317" s="31" t="s">
        <v>420</v>
      </c>
      <c r="G317" s="32">
        <v>4.4161535500000006</v>
      </c>
      <c r="H317" s="32">
        <v>2.7737833329999999</v>
      </c>
      <c r="I317" s="31" t="s">
        <v>30</v>
      </c>
      <c r="J317" s="32">
        <v>4.4161535500000006</v>
      </c>
      <c r="K317" s="32">
        <v>2.7737833329999999</v>
      </c>
      <c r="L317" s="78" t="s">
        <v>6</v>
      </c>
    </row>
    <row r="318" spans="2:12" x14ac:dyDescent="0.35">
      <c r="E318" s="2" t="s">
        <v>529</v>
      </c>
      <c r="G318" s="34">
        <f>AVERAGE(G314:G317)</f>
        <v>3.9859932230699808</v>
      </c>
      <c r="H318" s="34">
        <f>AVERAGE(H314:H317)</f>
        <v>2.6634648215433332</v>
      </c>
      <c r="L318" s="12" t="s">
        <v>6</v>
      </c>
    </row>
    <row r="319" spans="2:12" ht="14.6" thickBot="1" x14ac:dyDescent="0.4"/>
    <row r="320" spans="2:12" s="4" customFormat="1" x14ac:dyDescent="0.35">
      <c r="B320" s="20" t="s">
        <v>185</v>
      </c>
      <c r="C320" s="21" t="s">
        <v>421</v>
      </c>
      <c r="D320" s="21" t="s">
        <v>424</v>
      </c>
      <c r="E320" s="21" t="s">
        <v>425</v>
      </c>
      <c r="F320" s="21" t="s">
        <v>426</v>
      </c>
      <c r="G320" s="22">
        <v>5.7900496082953339</v>
      </c>
      <c r="H320" s="22">
        <v>3.9211980505066664</v>
      </c>
      <c r="I320" s="21" t="s">
        <v>15</v>
      </c>
      <c r="J320" s="22">
        <f>AVERAGE(G320,G321)</f>
        <v>4.9411581374809987</v>
      </c>
      <c r="K320" s="22">
        <f>AVERAGE(H320,H321)</f>
        <v>4.6489073585866665</v>
      </c>
      <c r="L320" s="86" t="s">
        <v>6</v>
      </c>
    </row>
    <row r="321" spans="2:12" s="4" customFormat="1" x14ac:dyDescent="0.35">
      <c r="B321" s="24" t="s">
        <v>185</v>
      </c>
      <c r="C321" s="4" t="s">
        <v>421</v>
      </c>
      <c r="D321" s="4" t="s">
        <v>424</v>
      </c>
      <c r="E321" s="4" t="s">
        <v>425</v>
      </c>
      <c r="F321" s="4" t="s">
        <v>426</v>
      </c>
      <c r="G321" s="25">
        <v>4.0922666666666636</v>
      </c>
      <c r="H321" s="25">
        <v>5.376616666666667</v>
      </c>
      <c r="I321" s="4" t="s">
        <v>10</v>
      </c>
      <c r="J321" s="25"/>
      <c r="K321" s="25"/>
      <c r="L321" s="27"/>
    </row>
    <row r="322" spans="2:12" s="4" customFormat="1" x14ac:dyDescent="0.35">
      <c r="B322" s="24" t="s">
        <v>185</v>
      </c>
      <c r="C322" s="4" t="s">
        <v>421</v>
      </c>
      <c r="D322" s="4" t="s">
        <v>424</v>
      </c>
      <c r="E322" s="4" t="s">
        <v>425</v>
      </c>
      <c r="F322" s="4" t="s">
        <v>427</v>
      </c>
      <c r="G322" s="25">
        <v>4.9680496082953329</v>
      </c>
      <c r="H322" s="25">
        <v>9.578198050506666</v>
      </c>
      <c r="I322" s="4" t="s">
        <v>15</v>
      </c>
      <c r="J322" s="25">
        <v>4.9680496082953329</v>
      </c>
      <c r="K322" s="25">
        <v>9.578198050506666</v>
      </c>
      <c r="L322" s="28" t="s">
        <v>8</v>
      </c>
    </row>
    <row r="323" spans="2:12" s="4" customFormat="1" x14ac:dyDescent="0.35">
      <c r="B323" s="24" t="s">
        <v>185</v>
      </c>
      <c r="C323" s="4" t="s">
        <v>421</v>
      </c>
      <c r="D323" s="4" t="s">
        <v>424</v>
      </c>
      <c r="E323" s="4" t="s">
        <v>425</v>
      </c>
      <c r="F323" s="97" t="s">
        <v>428</v>
      </c>
      <c r="G323" s="25">
        <v>1.3325700171153017</v>
      </c>
      <c r="H323" s="25">
        <v>5.8154999999999992</v>
      </c>
      <c r="I323" s="4" t="s">
        <v>16</v>
      </c>
      <c r="J323" s="25">
        <v>1.3325700171153017</v>
      </c>
      <c r="K323" s="25">
        <v>5.8154999999999992</v>
      </c>
      <c r="L323" s="28" t="s">
        <v>8</v>
      </c>
    </row>
    <row r="324" spans="2:12" s="4" customFormat="1" x14ac:dyDescent="0.35">
      <c r="B324" s="24" t="s">
        <v>185</v>
      </c>
      <c r="C324" s="4" t="s">
        <v>421</v>
      </c>
      <c r="D324" s="4" t="s">
        <v>424</v>
      </c>
      <c r="E324" s="4" t="s">
        <v>425</v>
      </c>
      <c r="F324" s="4" t="s">
        <v>429</v>
      </c>
      <c r="G324" s="25">
        <v>5.6783515673386553</v>
      </c>
      <c r="H324" s="25">
        <v>3.6234690611111118</v>
      </c>
      <c r="I324" s="4" t="s">
        <v>94</v>
      </c>
      <c r="J324" s="25">
        <f>AVERAGE(G324,G325)</f>
        <v>4.7734084269853287</v>
      </c>
      <c r="K324" s="25">
        <f>AVERAGE(H324,H325)</f>
        <v>4.0050393198488887</v>
      </c>
      <c r="L324" s="29" t="s">
        <v>6</v>
      </c>
    </row>
    <row r="325" spans="2:12" s="4" customFormat="1" x14ac:dyDescent="0.35">
      <c r="B325" s="24" t="s">
        <v>185</v>
      </c>
      <c r="C325" s="4" t="s">
        <v>421</v>
      </c>
      <c r="D325" s="4" t="s">
        <v>424</v>
      </c>
      <c r="E325" s="4" t="s">
        <v>425</v>
      </c>
      <c r="F325" s="4" t="s">
        <v>429</v>
      </c>
      <c r="G325" s="25">
        <v>3.8684652866320022</v>
      </c>
      <c r="H325" s="25">
        <v>4.3866095785866666</v>
      </c>
      <c r="I325" s="4" t="s">
        <v>238</v>
      </c>
      <c r="J325" s="25"/>
      <c r="K325" s="25"/>
      <c r="L325" s="27"/>
    </row>
    <row r="326" spans="2:12" s="4" customFormat="1" ht="14.6" thickBot="1" x14ac:dyDescent="0.4">
      <c r="B326" s="30" t="s">
        <v>185</v>
      </c>
      <c r="C326" s="31" t="s">
        <v>421</v>
      </c>
      <c r="D326" s="31" t="s">
        <v>424</v>
      </c>
      <c r="E326" s="31" t="s">
        <v>425</v>
      </c>
      <c r="F326" s="94" t="s">
        <v>430</v>
      </c>
      <c r="G326" s="32">
        <v>2.1290307556662036</v>
      </c>
      <c r="H326" s="32">
        <v>3.0909999999999997</v>
      </c>
      <c r="I326" s="31" t="s">
        <v>16</v>
      </c>
      <c r="J326" s="32">
        <v>2.1290307556662036</v>
      </c>
      <c r="K326" s="32">
        <v>3.0909999999999997</v>
      </c>
      <c r="L326" s="78" t="s">
        <v>6</v>
      </c>
    </row>
    <row r="327" spans="2:12" x14ac:dyDescent="0.35">
      <c r="E327" s="2" t="s">
        <v>530</v>
      </c>
      <c r="G327" s="34">
        <f>AVERAGE(G320:G326)</f>
        <v>3.9798262157156423</v>
      </c>
      <c r="H327" s="34">
        <f>AVERAGE(H320:H326)</f>
        <v>5.1132273439111113</v>
      </c>
      <c r="L327" s="10" t="s">
        <v>8</v>
      </c>
    </row>
    <row r="328" spans="2:12" ht="14.6" thickBot="1" x14ac:dyDescent="0.4"/>
    <row r="329" spans="2:12" s="4" customFormat="1" x14ac:dyDescent="0.35">
      <c r="B329" s="20" t="s">
        <v>185</v>
      </c>
      <c r="C329" s="21" t="s">
        <v>373</v>
      </c>
      <c r="D329" s="21" t="s">
        <v>432</v>
      </c>
      <c r="E329" s="21" t="s">
        <v>434</v>
      </c>
      <c r="F329" s="21" t="s">
        <v>435</v>
      </c>
      <c r="G329" s="22">
        <v>3.5393166499999964</v>
      </c>
      <c r="H329" s="22">
        <v>2.0020845026666669</v>
      </c>
      <c r="I329" s="21" t="s">
        <v>30</v>
      </c>
      <c r="J329" s="22">
        <v>3.5393166499999964</v>
      </c>
      <c r="K329" s="22">
        <v>2.0020845026666669</v>
      </c>
      <c r="L329" s="86" t="s">
        <v>6</v>
      </c>
    </row>
    <row r="330" spans="2:12" s="4" customFormat="1" x14ac:dyDescent="0.35">
      <c r="B330" s="24" t="s">
        <v>185</v>
      </c>
      <c r="C330" s="4" t="s">
        <v>373</v>
      </c>
      <c r="D330" s="4" t="s">
        <v>432</v>
      </c>
      <c r="E330" s="4" t="s">
        <v>434</v>
      </c>
      <c r="F330" s="4" t="s">
        <v>436</v>
      </c>
      <c r="G330" s="25">
        <v>3.3796604899999991</v>
      </c>
      <c r="H330" s="25">
        <v>5.5164142859999998</v>
      </c>
      <c r="I330" s="4" t="s">
        <v>146</v>
      </c>
      <c r="J330" s="25">
        <v>3.3796604899999991</v>
      </c>
      <c r="K330" s="25">
        <v>5.5164142859999998</v>
      </c>
      <c r="L330" s="28" t="s">
        <v>8</v>
      </c>
    </row>
    <row r="331" spans="2:12" s="4" customFormat="1" x14ac:dyDescent="0.35">
      <c r="B331" s="24" t="s">
        <v>185</v>
      </c>
      <c r="C331" s="4" t="s">
        <v>373</v>
      </c>
      <c r="D331" s="4" t="s">
        <v>432</v>
      </c>
      <c r="E331" s="4" t="s">
        <v>434</v>
      </c>
      <c r="F331" s="4" t="s">
        <v>437</v>
      </c>
      <c r="G331" s="25">
        <v>4.4960496082953334</v>
      </c>
      <c r="H331" s="25">
        <v>3.2121980505066658</v>
      </c>
      <c r="I331" s="4" t="s">
        <v>15</v>
      </c>
      <c r="J331" s="25">
        <f>AVERAGE(G331,G332)</f>
        <v>4.0048581374809995</v>
      </c>
      <c r="K331" s="25">
        <f>AVERAGE(H331,H332)</f>
        <v>3.4853073585866663</v>
      </c>
      <c r="L331" s="29" t="s">
        <v>6</v>
      </c>
    </row>
    <row r="332" spans="2:12" s="4" customFormat="1" x14ac:dyDescent="0.35">
      <c r="B332" s="24" t="s">
        <v>185</v>
      </c>
      <c r="C332" s="4" t="s">
        <v>373</v>
      </c>
      <c r="D332" s="4" t="s">
        <v>432</v>
      </c>
      <c r="E332" s="4" t="s">
        <v>434</v>
      </c>
      <c r="F332" s="4" t="s">
        <v>437</v>
      </c>
      <c r="G332" s="25">
        <v>3.5136666666666656</v>
      </c>
      <c r="H332" s="25">
        <v>3.7584166666666667</v>
      </c>
      <c r="I332" s="4" t="s">
        <v>10</v>
      </c>
      <c r="J332" s="25"/>
      <c r="K332" s="25"/>
      <c r="L332" s="27"/>
    </row>
    <row r="333" spans="2:12" s="4" customFormat="1" ht="14.6" thickBot="1" x14ac:dyDescent="0.4">
      <c r="B333" s="30" t="s">
        <v>185</v>
      </c>
      <c r="C333" s="31" t="s">
        <v>373</v>
      </c>
      <c r="D333" s="31" t="s">
        <v>432</v>
      </c>
      <c r="E333" s="31" t="s">
        <v>434</v>
      </c>
      <c r="F333" s="31" t="s">
        <v>438</v>
      </c>
      <c r="G333" s="32">
        <v>5.2230496082953337</v>
      </c>
      <c r="H333" s="32">
        <v>2.3651980505066659</v>
      </c>
      <c r="I333" s="31" t="s">
        <v>66</v>
      </c>
      <c r="J333" s="32">
        <v>5.2230496082953337</v>
      </c>
      <c r="K333" s="32">
        <v>2.3651980505066659</v>
      </c>
      <c r="L333" s="78" t="s">
        <v>6</v>
      </c>
    </row>
    <row r="334" spans="2:12" x14ac:dyDescent="0.35">
      <c r="E334" s="2" t="s">
        <v>531</v>
      </c>
      <c r="G334" s="34">
        <f>AVERAGE(G329:G333)</f>
        <v>4.0303486046514658</v>
      </c>
      <c r="H334" s="34">
        <f>AVERAGE(H329:H333)</f>
        <v>3.3708623112693332</v>
      </c>
      <c r="L334" s="12" t="s">
        <v>6</v>
      </c>
    </row>
    <row r="335" spans="2:12" ht="14.6" thickBot="1" x14ac:dyDescent="0.4"/>
    <row r="336" spans="2:12" s="4" customFormat="1" x14ac:dyDescent="0.35">
      <c r="B336" s="20" t="s">
        <v>185</v>
      </c>
      <c r="C336" s="21" t="s">
        <v>373</v>
      </c>
      <c r="D336" s="21" t="s">
        <v>432</v>
      </c>
      <c r="E336" s="21" t="s">
        <v>439</v>
      </c>
      <c r="F336" s="21" t="s">
        <v>440</v>
      </c>
      <c r="G336" s="22">
        <v>3.4399999999999977</v>
      </c>
      <c r="H336" s="22">
        <v>1.8200000000000003</v>
      </c>
      <c r="I336" s="21" t="s">
        <v>87</v>
      </c>
      <c r="J336" s="22">
        <v>3.4399999999999977</v>
      </c>
      <c r="K336" s="22">
        <v>1.8200000000000003</v>
      </c>
      <c r="L336" s="86" t="s">
        <v>6</v>
      </c>
    </row>
    <row r="337" spans="2:12" s="4" customFormat="1" x14ac:dyDescent="0.35">
      <c r="B337" s="24" t="s">
        <v>185</v>
      </c>
      <c r="C337" s="4" t="s">
        <v>373</v>
      </c>
      <c r="D337" s="4" t="s">
        <v>432</v>
      </c>
      <c r="E337" s="4" t="s">
        <v>439</v>
      </c>
      <c r="F337" s="4" t="s">
        <v>441</v>
      </c>
      <c r="G337" s="25">
        <v>3.25</v>
      </c>
      <c r="H337" s="25">
        <v>3</v>
      </c>
      <c r="I337" s="4" t="s">
        <v>22</v>
      </c>
      <c r="J337" s="25">
        <v>3.25</v>
      </c>
      <c r="K337" s="25">
        <v>3</v>
      </c>
      <c r="L337" s="29" t="s">
        <v>6</v>
      </c>
    </row>
    <row r="338" spans="2:12" s="4" customFormat="1" x14ac:dyDescent="0.35">
      <c r="B338" s="24" t="s">
        <v>185</v>
      </c>
      <c r="C338" s="4" t="s">
        <v>373</v>
      </c>
      <c r="D338" s="4" t="s">
        <v>432</v>
      </c>
      <c r="E338" s="4" t="s">
        <v>439</v>
      </c>
      <c r="F338" s="4" t="s">
        <v>442</v>
      </c>
      <c r="G338" s="25">
        <v>2.513949423333333</v>
      </c>
      <c r="H338" s="25">
        <v>2.1910268903333332</v>
      </c>
      <c r="I338" s="4" t="s">
        <v>30</v>
      </c>
      <c r="J338" s="25">
        <v>2.513949423333333</v>
      </c>
      <c r="K338" s="25">
        <v>2.1910268903333332</v>
      </c>
      <c r="L338" s="29" t="s">
        <v>6</v>
      </c>
    </row>
    <row r="339" spans="2:12" s="4" customFormat="1" x14ac:dyDescent="0.35">
      <c r="B339" s="24" t="s">
        <v>185</v>
      </c>
      <c r="C339" s="4" t="s">
        <v>373</v>
      </c>
      <c r="D339" s="4" t="s">
        <v>432</v>
      </c>
      <c r="E339" s="4" t="s">
        <v>439</v>
      </c>
      <c r="F339" s="4" t="s">
        <v>443</v>
      </c>
      <c r="G339" s="25">
        <v>3.3499999999999979</v>
      </c>
      <c r="H339" s="25">
        <v>3</v>
      </c>
      <c r="I339" s="4" t="s">
        <v>22</v>
      </c>
      <c r="J339" s="25">
        <v>3.3499999999999979</v>
      </c>
      <c r="K339" s="25">
        <v>3</v>
      </c>
      <c r="L339" s="29" t="s">
        <v>6</v>
      </c>
    </row>
    <row r="340" spans="2:12" s="4" customFormat="1" x14ac:dyDescent="0.35">
      <c r="B340" s="24" t="s">
        <v>185</v>
      </c>
      <c r="C340" s="4" t="s">
        <v>373</v>
      </c>
      <c r="D340" s="4" t="s">
        <v>432</v>
      </c>
      <c r="E340" s="4" t="s">
        <v>439</v>
      </c>
      <c r="F340" s="4" t="s">
        <v>444</v>
      </c>
      <c r="G340" s="25">
        <v>6.3178434383652995</v>
      </c>
      <c r="H340" s="25">
        <v>2.36207803344</v>
      </c>
      <c r="I340" s="4" t="s">
        <v>126</v>
      </c>
      <c r="J340" s="25">
        <f>AVERAGE(G340,G341,G342)</f>
        <v>5.5775561156517819</v>
      </c>
      <c r="K340" s="25">
        <f>AVERAGE(H340,H341,H342)</f>
        <v>3.7946735980066801</v>
      </c>
      <c r="L340" s="29" t="s">
        <v>6</v>
      </c>
    </row>
    <row r="341" spans="2:12" s="4" customFormat="1" x14ac:dyDescent="0.35">
      <c r="B341" s="24" t="s">
        <v>185</v>
      </c>
      <c r="C341" s="4" t="s">
        <v>373</v>
      </c>
      <c r="D341" s="4" t="s">
        <v>432</v>
      </c>
      <c r="E341" s="4" t="s">
        <v>439</v>
      </c>
      <c r="F341" s="4" t="s">
        <v>444</v>
      </c>
      <c r="G341" s="25">
        <v>6.0030496082953313</v>
      </c>
      <c r="H341" s="25">
        <v>3.565198050506666</v>
      </c>
      <c r="I341" s="4" t="s">
        <v>66</v>
      </c>
      <c r="J341" s="25"/>
      <c r="K341" s="25"/>
      <c r="L341" s="27"/>
    </row>
    <row r="342" spans="2:12" s="4" customFormat="1" x14ac:dyDescent="0.35">
      <c r="B342" s="24" t="s">
        <v>185</v>
      </c>
      <c r="C342" s="4" t="s">
        <v>373</v>
      </c>
      <c r="D342" s="4" t="s">
        <v>432</v>
      </c>
      <c r="E342" s="4" t="s">
        <v>439</v>
      </c>
      <c r="F342" s="4" t="s">
        <v>444</v>
      </c>
      <c r="G342" s="25">
        <v>4.4117753002947167</v>
      </c>
      <c r="H342" s="25">
        <v>5.4567447100733748</v>
      </c>
      <c r="I342" s="4" t="s">
        <v>12</v>
      </c>
      <c r="J342" s="25"/>
      <c r="K342" s="25"/>
      <c r="L342" s="27"/>
    </row>
    <row r="343" spans="2:12" s="4" customFormat="1" ht="14.6" thickBot="1" x14ac:dyDescent="0.4">
      <c r="B343" s="30" t="s">
        <v>185</v>
      </c>
      <c r="C343" s="31" t="s">
        <v>373</v>
      </c>
      <c r="D343" s="31" t="s">
        <v>432</v>
      </c>
      <c r="E343" s="31" t="s">
        <v>439</v>
      </c>
      <c r="F343" s="31" t="s">
        <v>445</v>
      </c>
      <c r="G343" s="32">
        <v>3.9283411500000014</v>
      </c>
      <c r="H343" s="32">
        <v>2.059728195285714</v>
      </c>
      <c r="I343" s="31" t="s">
        <v>30</v>
      </c>
      <c r="J343" s="32">
        <v>3.9283411500000014</v>
      </c>
      <c r="K343" s="32">
        <v>2.059728195285714</v>
      </c>
      <c r="L343" s="78" t="s">
        <v>6</v>
      </c>
    </row>
    <row r="344" spans="2:12" x14ac:dyDescent="0.35">
      <c r="E344" s="2" t="s">
        <v>532</v>
      </c>
      <c r="G344" s="34">
        <f>AVERAGE(G336:G343)</f>
        <v>4.151869865036085</v>
      </c>
      <c r="H344" s="34">
        <f>AVERAGE(H336:H343)</f>
        <v>2.9318469849548858</v>
      </c>
      <c r="L344" s="12" t="s">
        <v>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A5E3-E5F2-4696-84F3-8C93605E6EE0}">
  <dimension ref="A1:Z25"/>
  <sheetViews>
    <sheetView tabSelected="1" workbookViewId="0">
      <selection activeCell="F28" sqref="F28"/>
    </sheetView>
  </sheetViews>
  <sheetFormatPr defaultRowHeight="14.15" x14ac:dyDescent="0.35"/>
  <cols>
    <col min="1" max="1" width="12.5703125" style="4" customWidth="1"/>
    <col min="2" max="17" width="9.140625" style="4"/>
    <col min="18" max="18" width="19.28515625" style="2" customWidth="1"/>
    <col min="19" max="19" width="22.42578125" style="2" customWidth="1"/>
    <col min="20" max="20" width="21.640625" style="2" customWidth="1"/>
    <col min="21" max="21" width="23.640625" style="2" customWidth="1"/>
    <col min="22" max="22" width="26.92578125" style="2" customWidth="1"/>
    <col min="23" max="23" width="25.92578125" style="2" customWidth="1"/>
    <col min="24" max="24" width="18.28515625" style="2" customWidth="1"/>
    <col min="25" max="25" width="21.42578125" style="2" customWidth="1"/>
    <col min="26" max="26" width="21.0703125" style="2" customWidth="1"/>
    <col min="27" max="16384" width="9.140625" style="2"/>
  </cols>
  <sheetData>
    <row r="1" spans="1:26" s="1" customFormat="1" x14ac:dyDescent="0.35">
      <c r="A1" s="1" t="s">
        <v>573</v>
      </c>
      <c r="B1" s="1" t="s">
        <v>578</v>
      </c>
      <c r="C1" s="1" t="s">
        <v>579</v>
      </c>
      <c r="D1" s="1" t="s">
        <v>580</v>
      </c>
      <c r="E1" s="1" t="s">
        <v>581</v>
      </c>
      <c r="F1" s="1" t="s">
        <v>582</v>
      </c>
      <c r="G1" s="1" t="s">
        <v>583</v>
      </c>
      <c r="H1" s="1" t="s">
        <v>584</v>
      </c>
      <c r="I1" s="1" t="s">
        <v>585</v>
      </c>
      <c r="J1" s="1" t="s">
        <v>586</v>
      </c>
      <c r="K1" s="1" t="s">
        <v>587</v>
      </c>
      <c r="L1" s="1" t="s">
        <v>588</v>
      </c>
      <c r="M1" s="1" t="s">
        <v>589</v>
      </c>
      <c r="N1" s="1" t="s">
        <v>590</v>
      </c>
      <c r="O1" s="1" t="s">
        <v>591</v>
      </c>
      <c r="P1" s="1" t="s">
        <v>592</v>
      </c>
      <c r="Q1" s="1" t="s">
        <v>593</v>
      </c>
      <c r="R1" s="1" t="s">
        <v>594</v>
      </c>
      <c r="S1" s="1" t="s">
        <v>595</v>
      </c>
      <c r="T1" s="1" t="s">
        <v>596</v>
      </c>
      <c r="U1" s="1" t="s">
        <v>597</v>
      </c>
      <c r="V1" s="1" t="s">
        <v>598</v>
      </c>
      <c r="W1" s="1" t="s">
        <v>599</v>
      </c>
      <c r="X1" s="1" t="s">
        <v>600</v>
      </c>
      <c r="Y1" s="1" t="s">
        <v>601</v>
      </c>
      <c r="Z1" s="1" t="s">
        <v>602</v>
      </c>
    </row>
    <row r="2" spans="1:26" x14ac:dyDescent="0.35">
      <c r="A2" s="2" t="s">
        <v>574</v>
      </c>
      <c r="B2" s="2">
        <v>1</v>
      </c>
      <c r="C2" s="2">
        <v>108.0799611111111</v>
      </c>
      <c r="D2" s="2">
        <v>27.079244444444445</v>
      </c>
      <c r="E2" s="2">
        <v>549</v>
      </c>
      <c r="F2" s="2">
        <v>57.705292</v>
      </c>
      <c r="G2" s="2">
        <v>1.0984</v>
      </c>
      <c r="H2" s="2">
        <v>46.108727639999998</v>
      </c>
      <c r="I2" s="2">
        <v>30.79887003</v>
      </c>
      <c r="J2" s="2">
        <v>7.32</v>
      </c>
      <c r="K2" s="2">
        <v>24.686983229999999</v>
      </c>
      <c r="L2" s="2">
        <v>2.8530873223864299</v>
      </c>
      <c r="M2" s="2">
        <v>0.31078738180849602</v>
      </c>
      <c r="N2" s="2">
        <v>8.0733120255693098</v>
      </c>
      <c r="O2" s="2">
        <f>K2/L2</f>
        <v>8.6527261315475172</v>
      </c>
      <c r="P2" s="2">
        <f>K2/M2</f>
        <v>79.433672906359703</v>
      </c>
      <c r="Q2" s="2">
        <f>L2/M2</f>
        <v>9.1801903468026662</v>
      </c>
      <c r="R2" s="2">
        <v>3.9896309836890902E-2</v>
      </c>
      <c r="S2" s="2">
        <v>0.50756254799761102</v>
      </c>
      <c r="T2" s="2">
        <v>0.70311665816923097</v>
      </c>
      <c r="U2" s="2">
        <v>0.221923379444699</v>
      </c>
      <c r="V2" s="2">
        <v>0.38776878032169199</v>
      </c>
      <c r="W2" s="2">
        <v>0.64305382939442102</v>
      </c>
      <c r="X2" s="2">
        <v>-0.67108690643386304</v>
      </c>
      <c r="Y2" s="2">
        <v>-0.25041344803187399</v>
      </c>
      <c r="Z2" s="2">
        <v>-0.317816485409538</v>
      </c>
    </row>
    <row r="3" spans="1:26" x14ac:dyDescent="0.35">
      <c r="A3" s="2" t="s">
        <v>574</v>
      </c>
      <c r="B3" s="2">
        <v>2</v>
      </c>
      <c r="C3" s="2">
        <v>108.07839166666666</v>
      </c>
      <c r="D3" s="2">
        <v>27.080605555555554</v>
      </c>
      <c r="E3" s="2">
        <v>584</v>
      </c>
      <c r="F3" s="2">
        <v>58.599456500000002</v>
      </c>
      <c r="G3" s="2">
        <v>1.0712999999999999</v>
      </c>
      <c r="H3" s="2">
        <v>48.792184730000002</v>
      </c>
      <c r="I3" s="2">
        <v>32.632065420000004</v>
      </c>
      <c r="J3" s="2">
        <v>7.97</v>
      </c>
      <c r="K3" s="2">
        <v>18.714022</v>
      </c>
      <c r="L3" s="2">
        <v>2.14143216626189</v>
      </c>
      <c r="M3" s="2">
        <v>0.47430650927037499</v>
      </c>
      <c r="N3" s="2">
        <v>6.5811324529811897</v>
      </c>
      <c r="O3" s="2">
        <f t="shared" ref="O3:O25" si="0">K3/L3</f>
        <v>8.7390216205948867</v>
      </c>
      <c r="P3" s="2">
        <f t="shared" ref="P3:P25" si="1">K3/M3</f>
        <v>39.455545378847432</v>
      </c>
      <c r="Q3" s="2">
        <f t="shared" ref="Q3:Q25" si="2">L3/M3</f>
        <v>4.5148698666523721</v>
      </c>
      <c r="R3" s="2">
        <v>0.43115085125027502</v>
      </c>
      <c r="S3" s="2">
        <v>0.46089661695008899</v>
      </c>
      <c r="T3" s="2">
        <v>1</v>
      </c>
      <c r="U3" s="2">
        <v>0.28008930615775801</v>
      </c>
      <c r="V3" s="2">
        <v>0.34085437715454903</v>
      </c>
      <c r="W3" s="2">
        <v>0.65243862229113103</v>
      </c>
      <c r="X3" s="2">
        <v>-4.20001323779991E-2</v>
      </c>
      <c r="Y3" s="2">
        <v>-0.273822833664356</v>
      </c>
      <c r="Z3" s="2">
        <v>0.33332988380775203</v>
      </c>
    </row>
    <row r="4" spans="1:26" x14ac:dyDescent="0.35">
      <c r="A4" s="2" t="s">
        <v>574</v>
      </c>
      <c r="B4" s="2">
        <v>3</v>
      </c>
      <c r="C4" s="2">
        <v>108.07814999999999</v>
      </c>
      <c r="D4" s="2">
        <v>27.078983333333333</v>
      </c>
      <c r="E4" s="2">
        <v>560</v>
      </c>
      <c r="F4" s="2">
        <v>57.862018249999998</v>
      </c>
      <c r="G4" s="2">
        <v>1.09365</v>
      </c>
      <c r="H4" s="2">
        <v>70.244585889999996</v>
      </c>
      <c r="I4" s="2">
        <v>30.122513550000001</v>
      </c>
      <c r="J4" s="2">
        <v>7.07</v>
      </c>
      <c r="K4" s="2">
        <v>15.05786647</v>
      </c>
      <c r="L4" s="2">
        <v>1.8149912764142</v>
      </c>
      <c r="M4" s="2">
        <v>0.25363831310920998</v>
      </c>
      <c r="N4" s="2">
        <v>7.0228764670777997</v>
      </c>
      <c r="O4" s="2">
        <f t="shared" si="0"/>
        <v>8.2963850381414375</v>
      </c>
      <c r="P4" s="2">
        <f t="shared" si="1"/>
        <v>59.367476015015441</v>
      </c>
      <c r="Q4" s="2">
        <f t="shared" si="2"/>
        <v>7.1558245840907819</v>
      </c>
      <c r="R4" s="2">
        <v>5.7692307692307702E-2</v>
      </c>
      <c r="S4" s="2">
        <v>0.20142690166117599</v>
      </c>
      <c r="T4" s="2">
        <v>0.42648990666414799</v>
      </c>
      <c r="U4" s="2">
        <v>0.19495615081430301</v>
      </c>
      <c r="V4" s="2">
        <v>0.27696169708003998</v>
      </c>
      <c r="W4" s="2">
        <v>0.45911768550482002</v>
      </c>
      <c r="X4" s="2">
        <v>-0.55070132070336497</v>
      </c>
      <c r="Y4" s="2">
        <v>-0.67822351677127002</v>
      </c>
      <c r="Z4" s="2">
        <v>-0.32993147815976798</v>
      </c>
    </row>
    <row r="5" spans="1:26" x14ac:dyDescent="0.35">
      <c r="A5" s="2" t="s">
        <v>574</v>
      </c>
      <c r="B5" s="2">
        <v>4</v>
      </c>
      <c r="C5" s="2">
        <v>108.0799611111111</v>
      </c>
      <c r="D5" s="2">
        <v>27.079244444444445</v>
      </c>
      <c r="E5" s="2">
        <v>549</v>
      </c>
      <c r="F5" s="2">
        <v>58.554913249999998</v>
      </c>
      <c r="G5" s="2">
        <v>1.0726500000000001</v>
      </c>
      <c r="H5" s="2">
        <v>33.774925330000002</v>
      </c>
      <c r="I5" s="2">
        <v>31.847617379999999</v>
      </c>
      <c r="J5" s="2">
        <v>7.38</v>
      </c>
      <c r="K5" s="2">
        <v>23.862403799999999</v>
      </c>
      <c r="L5" s="2">
        <v>2.92733771304278</v>
      </c>
      <c r="M5" s="2">
        <v>0.39077168986083999</v>
      </c>
      <c r="N5" s="2">
        <v>7.29224652087475</v>
      </c>
      <c r="O5" s="2">
        <f t="shared" si="0"/>
        <v>8.1515718851572334</v>
      </c>
      <c r="P5" s="2">
        <f t="shared" si="1"/>
        <v>61.064822296870531</v>
      </c>
      <c r="Q5" s="2">
        <f t="shared" si="2"/>
        <v>7.4911714154248266</v>
      </c>
      <c r="R5" s="2">
        <v>0.36768121273417298</v>
      </c>
      <c r="S5" s="2">
        <v>0.30766015510766898</v>
      </c>
      <c r="T5" s="2">
        <v>0.37250823044683401</v>
      </c>
      <c r="U5" s="2">
        <v>0.276019096869703</v>
      </c>
      <c r="V5" s="2">
        <v>0.42506011154238399</v>
      </c>
      <c r="W5" s="2">
        <v>0.44527303358876102</v>
      </c>
      <c r="X5" s="2">
        <v>-0.32216012984871201</v>
      </c>
      <c r="Y5" s="2">
        <v>-0.34162373232106402</v>
      </c>
      <c r="Z5" s="2">
        <v>-0.78412768422007995</v>
      </c>
    </row>
    <row r="6" spans="1:26" x14ac:dyDescent="0.35">
      <c r="A6" s="2" t="s">
        <v>574</v>
      </c>
      <c r="B6" s="2">
        <v>5</v>
      </c>
      <c r="C6" s="2">
        <v>108.07839166666666</v>
      </c>
      <c r="D6" s="2">
        <v>27.080605555555554</v>
      </c>
      <c r="E6" s="2">
        <v>584</v>
      </c>
      <c r="F6" s="2">
        <v>52.645508749999998</v>
      </c>
      <c r="G6" s="2">
        <v>1.2517499999999999</v>
      </c>
      <c r="H6" s="2">
        <v>26.819390290000001</v>
      </c>
      <c r="I6" s="2">
        <v>22.52567853</v>
      </c>
      <c r="J6" s="2">
        <v>7.97</v>
      </c>
      <c r="K6" s="2">
        <v>19.237786230000001</v>
      </c>
      <c r="L6" s="2">
        <v>2.2195197087208598</v>
      </c>
      <c r="M6" s="2">
        <v>0.50947587389526405</v>
      </c>
      <c r="N6" s="2">
        <v>6.1456272259596396</v>
      </c>
      <c r="O6" s="2">
        <f t="shared" si="0"/>
        <v>8.6675446739272282</v>
      </c>
      <c r="P6" s="2">
        <f t="shared" si="1"/>
        <v>37.759955310376142</v>
      </c>
      <c r="Q6" s="2">
        <f t="shared" si="2"/>
        <v>4.3564765721902257</v>
      </c>
      <c r="R6" s="2">
        <v>0.37067343570125399</v>
      </c>
      <c r="S6" s="2">
        <v>0.33836976001434099</v>
      </c>
      <c r="T6" s="2">
        <v>0.14354175192569599</v>
      </c>
      <c r="U6" s="2">
        <v>0.34825752187943598</v>
      </c>
      <c r="V6" s="2">
        <v>0.38783062985947903</v>
      </c>
      <c r="W6" s="2">
        <v>0.37133414841294399</v>
      </c>
      <c r="X6" s="2">
        <v>-0.422424122596889</v>
      </c>
      <c r="Y6" s="2">
        <v>-0.31343901674299901</v>
      </c>
      <c r="Z6" s="2">
        <v>-0.48461182331311298</v>
      </c>
    </row>
    <row r="7" spans="1:26" x14ac:dyDescent="0.35">
      <c r="A7" s="2" t="s">
        <v>574</v>
      </c>
      <c r="B7" s="2">
        <v>6</v>
      </c>
      <c r="C7" s="2">
        <v>108.07814999999999</v>
      </c>
      <c r="D7" s="2">
        <v>27.078983333333333</v>
      </c>
      <c r="E7" s="2">
        <v>560</v>
      </c>
      <c r="F7" s="2">
        <v>49.738649250000002</v>
      </c>
      <c r="G7" s="2">
        <v>1.33985</v>
      </c>
      <c r="H7" s="2">
        <v>29.67534487</v>
      </c>
      <c r="I7" s="2">
        <v>24.832677189999998</v>
      </c>
      <c r="J7" s="2">
        <v>6.91</v>
      </c>
      <c r="K7" s="2">
        <v>14.68237055</v>
      </c>
      <c r="L7" s="2">
        <v>1.8662689899004099</v>
      </c>
      <c r="M7" s="2">
        <v>0.32079994660258998</v>
      </c>
      <c r="N7" s="2">
        <v>7.5174209050860998</v>
      </c>
      <c r="O7" s="2">
        <f t="shared" si="0"/>
        <v>7.867231695675069</v>
      </c>
      <c r="P7" s="2">
        <f t="shared" si="1"/>
        <v>45.767995616871659</v>
      </c>
      <c r="Q7" s="2">
        <f t="shared" si="2"/>
        <v>5.8175476949575735</v>
      </c>
      <c r="R7" s="2">
        <v>0.43099880431625498</v>
      </c>
      <c r="S7" s="2">
        <v>0.61437430609765697</v>
      </c>
      <c r="T7" s="2">
        <v>0.58472675656425199</v>
      </c>
      <c r="U7" s="2">
        <v>0.335421568395809</v>
      </c>
      <c r="V7" s="2">
        <v>0.476141849908648</v>
      </c>
      <c r="W7" s="2">
        <v>0.44871508047175701</v>
      </c>
      <c r="X7" s="2">
        <v>-0.28744101735128902</v>
      </c>
      <c r="Y7" s="2">
        <v>-4.82553189036182E-2</v>
      </c>
      <c r="Z7" s="2">
        <v>-0.42147786301908802</v>
      </c>
    </row>
    <row r="8" spans="1:26" x14ac:dyDescent="0.35">
      <c r="A8" s="2" t="s">
        <v>575</v>
      </c>
      <c r="B8" s="2">
        <v>7</v>
      </c>
      <c r="C8" s="2">
        <v>108.27508055555556</v>
      </c>
      <c r="D8" s="2">
        <v>27.108111111111114</v>
      </c>
      <c r="E8" s="2">
        <v>890</v>
      </c>
      <c r="F8" s="2">
        <v>57.942855999999999</v>
      </c>
      <c r="G8" s="2">
        <v>1.0911999999999999</v>
      </c>
      <c r="H8" s="2">
        <v>49.932693950000001</v>
      </c>
      <c r="I8" s="2">
        <v>39.781333160000003</v>
      </c>
      <c r="J8" s="2">
        <v>7.76</v>
      </c>
      <c r="K8" s="2">
        <v>34.161890280000001</v>
      </c>
      <c r="L8" s="2">
        <v>3.1877905885230202</v>
      </c>
      <c r="M8" s="2">
        <v>0.36338291591531402</v>
      </c>
      <c r="N8" s="2">
        <v>2.0687237026648</v>
      </c>
      <c r="O8" s="2">
        <f t="shared" si="0"/>
        <v>10.716478806039774</v>
      </c>
      <c r="P8" s="2">
        <f t="shared" si="1"/>
        <v>94.010721978909416</v>
      </c>
      <c r="Q8" s="2">
        <f t="shared" si="2"/>
        <v>8.7725384130769957</v>
      </c>
      <c r="R8" s="2">
        <v>0.24229658057723999</v>
      </c>
      <c r="S8" s="2">
        <v>0.54856828408704394</v>
      </c>
      <c r="T8" s="2">
        <v>0.49419499680860501</v>
      </c>
      <c r="U8" s="2">
        <v>0.28874605190299102</v>
      </c>
      <c r="V8" s="2">
        <v>0.49337849003078299</v>
      </c>
      <c r="W8" s="2">
        <v>0.39945516145835502</v>
      </c>
      <c r="X8" s="2">
        <v>-0.36987444237738598</v>
      </c>
      <c r="Y8" s="2">
        <v>-1.12988367952609E-2</v>
      </c>
      <c r="Z8" s="2">
        <v>0.24605012978253299</v>
      </c>
    </row>
    <row r="9" spans="1:26" x14ac:dyDescent="0.35">
      <c r="A9" s="2" t="s">
        <v>575</v>
      </c>
      <c r="B9" s="2">
        <v>8</v>
      </c>
      <c r="C9" s="2">
        <v>108.10555833333333</v>
      </c>
      <c r="D9" s="2">
        <v>27.108027777777778</v>
      </c>
      <c r="E9" s="2">
        <v>911</v>
      </c>
      <c r="F9" s="2">
        <v>60.1106275</v>
      </c>
      <c r="G9" s="2">
        <v>1.0255000000000001</v>
      </c>
      <c r="H9" s="2">
        <v>48.10042498</v>
      </c>
      <c r="I9" s="2">
        <v>40.937481339999998</v>
      </c>
      <c r="J9" s="2">
        <v>7.79</v>
      </c>
      <c r="K9" s="2">
        <v>35.619023939999998</v>
      </c>
      <c r="L9" s="2">
        <v>3.97851481317872</v>
      </c>
      <c r="M9" s="2">
        <v>0.50685611780455098</v>
      </c>
      <c r="N9" s="2">
        <v>2.07329317269076</v>
      </c>
      <c r="O9" s="2">
        <f t="shared" si="0"/>
        <v>8.9528443684595498</v>
      </c>
      <c r="P9" s="2">
        <f t="shared" si="1"/>
        <v>70.274428361018749</v>
      </c>
      <c r="Q9" s="2">
        <f t="shared" si="2"/>
        <v>7.849396847396596</v>
      </c>
      <c r="R9" s="2">
        <v>0.28407315073654799</v>
      </c>
      <c r="S9" s="2">
        <v>0.482513177076481</v>
      </c>
      <c r="T9" s="2">
        <v>0.20101146372609399</v>
      </c>
      <c r="U9" s="2">
        <v>0.24038878447055301</v>
      </c>
      <c r="V9" s="2">
        <v>0.34285947856119497</v>
      </c>
      <c r="W9" s="2">
        <v>0.39793839562019001</v>
      </c>
      <c r="X9" s="2">
        <v>-0.33053606964056897</v>
      </c>
      <c r="Y9" s="2">
        <v>-0.277711953074818</v>
      </c>
      <c r="Z9" s="2">
        <v>0.28099945116691399</v>
      </c>
    </row>
    <row r="10" spans="1:26" x14ac:dyDescent="0.35">
      <c r="A10" s="2" t="s">
        <v>575</v>
      </c>
      <c r="B10" s="2">
        <v>9</v>
      </c>
      <c r="C10" s="2">
        <v>108.10849999999999</v>
      </c>
      <c r="D10" s="2">
        <v>27.109680555555556</v>
      </c>
      <c r="E10" s="2">
        <v>939</v>
      </c>
      <c r="F10" s="2">
        <v>59.308849000000002</v>
      </c>
      <c r="G10" s="2">
        <v>1.0498000000000001</v>
      </c>
      <c r="H10" s="2">
        <v>46.936347439999999</v>
      </c>
      <c r="I10" s="2">
        <v>33.120636930000003</v>
      </c>
      <c r="J10" s="2">
        <v>7.67</v>
      </c>
      <c r="K10" s="2">
        <v>39.051232550000002</v>
      </c>
      <c r="L10" s="2">
        <v>3.4993014427714701</v>
      </c>
      <c r="M10" s="2">
        <v>0.37816270825003301</v>
      </c>
      <c r="N10" s="2">
        <v>2.5654738104758099</v>
      </c>
      <c r="O10" s="2">
        <f t="shared" si="0"/>
        <v>11.159722358491974</v>
      </c>
      <c r="P10" s="2">
        <f t="shared" si="1"/>
        <v>103.26568881080725</v>
      </c>
      <c r="Q10" s="2">
        <f t="shared" si="2"/>
        <v>9.2534281314111162</v>
      </c>
      <c r="R10" s="2">
        <v>0.36136775169941099</v>
      </c>
      <c r="S10" s="2">
        <v>0.868473973163709</v>
      </c>
      <c r="T10" s="2">
        <v>0.42706508798298298</v>
      </c>
      <c r="U10" s="2">
        <v>0.223040042520912</v>
      </c>
      <c r="V10" s="2">
        <v>0.44506968758426402</v>
      </c>
      <c r="W10" s="2">
        <v>0.39039087730921201</v>
      </c>
      <c r="X10" s="2">
        <v>-0.245082524415145</v>
      </c>
      <c r="Y10" s="2">
        <v>-1.5983579551882201E-2</v>
      </c>
      <c r="Z10" s="2">
        <v>8.4398221699336605E-3</v>
      </c>
    </row>
    <row r="11" spans="1:26" x14ac:dyDescent="0.35">
      <c r="A11" s="2" t="s">
        <v>575</v>
      </c>
      <c r="B11" s="2">
        <v>10</v>
      </c>
      <c r="C11" s="2">
        <v>108.27508055555556</v>
      </c>
      <c r="D11" s="2">
        <v>27.108111111111114</v>
      </c>
      <c r="E11" s="2">
        <v>890</v>
      </c>
      <c r="F11" s="2">
        <v>61.616849250000001</v>
      </c>
      <c r="G11" s="2">
        <v>0.97985</v>
      </c>
      <c r="H11" s="2">
        <v>57.402976649999999</v>
      </c>
      <c r="I11" s="2">
        <v>44.758847549999999</v>
      </c>
      <c r="J11" s="2">
        <v>7.94</v>
      </c>
      <c r="K11" s="2">
        <v>32.28331051</v>
      </c>
      <c r="L11" s="2">
        <v>3.6992523503912902</v>
      </c>
      <c r="M11" s="2">
        <v>0.49517232704402497</v>
      </c>
      <c r="N11" s="2">
        <v>2.6444885799404201</v>
      </c>
      <c r="O11" s="2">
        <f t="shared" si="0"/>
        <v>8.726982495959005</v>
      </c>
      <c r="P11" s="2">
        <f t="shared" si="1"/>
        <v>65.196112033800588</v>
      </c>
      <c r="Q11" s="2">
        <f t="shared" si="2"/>
        <v>7.4706362782312663</v>
      </c>
      <c r="R11" s="2">
        <v>0.55299824739348202</v>
      </c>
      <c r="S11" s="2">
        <v>0.94956970764906101</v>
      </c>
      <c r="T11" s="2">
        <v>0.38419803981780098</v>
      </c>
      <c r="U11" s="2">
        <v>0.403444922483294</v>
      </c>
      <c r="V11" s="2">
        <v>0.64172335835938399</v>
      </c>
      <c r="W11" s="2">
        <v>0.58041462648215703</v>
      </c>
      <c r="X11" s="2">
        <v>4.91857521883729E-2</v>
      </c>
      <c r="Y11" s="2">
        <v>0.37524355111644803</v>
      </c>
      <c r="Z11" s="2">
        <v>0.94062547312335998</v>
      </c>
    </row>
    <row r="12" spans="1:26" x14ac:dyDescent="0.35">
      <c r="A12" s="2" t="s">
        <v>575</v>
      </c>
      <c r="B12" s="2">
        <v>11</v>
      </c>
      <c r="C12" s="2">
        <v>108.10555833333333</v>
      </c>
      <c r="D12" s="2">
        <v>27.108027777777778</v>
      </c>
      <c r="E12" s="2">
        <v>911</v>
      </c>
      <c r="F12" s="2">
        <v>59.1075795</v>
      </c>
      <c r="G12" s="2">
        <v>1.0559000000000001</v>
      </c>
      <c r="H12" s="2">
        <v>43.043594130000002</v>
      </c>
      <c r="I12" s="2">
        <v>29.53064213</v>
      </c>
      <c r="J12" s="2">
        <v>7.88</v>
      </c>
      <c r="K12" s="2">
        <v>34.659477199999998</v>
      </c>
      <c r="L12" s="2">
        <v>3.9617745288236401</v>
      </c>
      <c r="M12" s="2">
        <v>0.61963292609653498</v>
      </c>
      <c r="N12" s="2">
        <v>2.84438213498898</v>
      </c>
      <c r="O12" s="2">
        <f t="shared" si="0"/>
        <v>8.7484729249070501</v>
      </c>
      <c r="P12" s="2">
        <f t="shared" si="1"/>
        <v>55.93549945504391</v>
      </c>
      <c r="Q12" s="2">
        <f t="shared" si="2"/>
        <v>6.3937443637499989</v>
      </c>
      <c r="R12" s="2">
        <v>0.51343978899513798</v>
      </c>
      <c r="S12" s="2">
        <v>0.87245445995857396</v>
      </c>
      <c r="T12" s="2">
        <v>0.32502328549035198</v>
      </c>
      <c r="U12" s="2">
        <v>0.29193279661171401</v>
      </c>
      <c r="V12" s="2">
        <v>0.65642340588158699</v>
      </c>
      <c r="W12" s="2">
        <v>0.53939718307457496</v>
      </c>
      <c r="X12" s="2">
        <v>-9.7017331624039999E-2</v>
      </c>
      <c r="Y12" s="2">
        <v>0.308017449661455</v>
      </c>
      <c r="Z12" s="2">
        <v>0.85579719268921195</v>
      </c>
    </row>
    <row r="13" spans="1:26" x14ac:dyDescent="0.35">
      <c r="A13" s="2" t="s">
        <v>575</v>
      </c>
      <c r="B13" s="2">
        <v>12</v>
      </c>
      <c r="C13" s="2">
        <v>108.10849999999999</v>
      </c>
      <c r="D13" s="2">
        <v>27.109680555555556</v>
      </c>
      <c r="E13" s="2">
        <v>939</v>
      </c>
      <c r="F13" s="2">
        <v>77.66231775</v>
      </c>
      <c r="G13" s="2">
        <v>0.49354999999999999</v>
      </c>
      <c r="H13" s="2">
        <v>95.370964299999997</v>
      </c>
      <c r="I13" s="2">
        <v>48.78168625</v>
      </c>
      <c r="J13" s="2">
        <v>7.86</v>
      </c>
      <c r="K13" s="2">
        <v>42.589231699999999</v>
      </c>
      <c r="L13" s="2">
        <v>3.4005325277109399</v>
      </c>
      <c r="M13" s="2">
        <v>0.43800947829550002</v>
      </c>
      <c r="N13" s="2">
        <v>2.10195141377937</v>
      </c>
      <c r="O13" s="2">
        <f t="shared" si="0"/>
        <v>12.52428299183741</v>
      </c>
      <c r="P13" s="2">
        <f t="shared" si="1"/>
        <v>97.233584683451696</v>
      </c>
      <c r="Q13" s="2">
        <f t="shared" si="2"/>
        <v>7.7636048903416528</v>
      </c>
      <c r="R13" s="2">
        <v>0.45527956703150702</v>
      </c>
      <c r="S13" s="2">
        <v>0.72163226466846897</v>
      </c>
      <c r="T13" s="2">
        <v>0.32840246498056702</v>
      </c>
      <c r="U13" s="2">
        <v>0.25876719458650299</v>
      </c>
      <c r="V13" s="2">
        <v>0.72418642323156102</v>
      </c>
      <c r="W13" s="2">
        <v>0.46586319695789502</v>
      </c>
      <c r="X13" s="2">
        <v>-4.49301386851867E-2</v>
      </c>
      <c r="Y13" s="2">
        <v>9.3788401495873405E-2</v>
      </c>
      <c r="Z13" s="2">
        <v>0.85384994779978396</v>
      </c>
    </row>
    <row r="14" spans="1:26" x14ac:dyDescent="0.35">
      <c r="A14" s="2" t="s">
        <v>576</v>
      </c>
      <c r="B14" s="2">
        <v>13</v>
      </c>
      <c r="C14" s="2">
        <v>108.10501944444444</v>
      </c>
      <c r="D14" s="2">
        <v>27.109719444444448</v>
      </c>
      <c r="E14" s="2">
        <v>912</v>
      </c>
      <c r="F14" s="2">
        <v>74.74391</v>
      </c>
      <c r="G14" s="2">
        <v>0.58199999999999996</v>
      </c>
      <c r="H14" s="2">
        <v>87.332066350000005</v>
      </c>
      <c r="I14" s="2">
        <v>45.451288120000001</v>
      </c>
      <c r="J14" s="2">
        <v>7.7</v>
      </c>
      <c r="K14" s="2">
        <v>30.696304720000001</v>
      </c>
      <c r="L14" s="2">
        <v>2.5509076800195198</v>
      </c>
      <c r="M14" s="2">
        <v>0.41718939697820601</v>
      </c>
      <c r="N14" s="2">
        <v>1.31589450461292</v>
      </c>
      <c r="O14" s="2">
        <f t="shared" si="0"/>
        <v>12.033483203031913</v>
      </c>
      <c r="P14" s="2">
        <f t="shared" si="1"/>
        <v>73.578822813666989</v>
      </c>
      <c r="Q14" s="2">
        <f t="shared" si="2"/>
        <v>6.1145074599122164</v>
      </c>
      <c r="R14" s="2">
        <v>0.39066964146896399</v>
      </c>
      <c r="S14" s="2">
        <v>0.69298832521950204</v>
      </c>
      <c r="T14" s="2">
        <v>0.63176891360035303</v>
      </c>
      <c r="U14" s="2">
        <v>0.270706599132022</v>
      </c>
      <c r="V14" s="2">
        <v>0.23486581957052799</v>
      </c>
      <c r="W14" s="2">
        <v>0.56014228588263604</v>
      </c>
      <c r="X14" s="2">
        <v>-5.5732922426390302E-2</v>
      </c>
      <c r="Y14" s="2">
        <v>6.3066230068988399E-2</v>
      </c>
      <c r="Z14" s="2">
        <v>0.68071135294156404</v>
      </c>
    </row>
    <row r="15" spans="1:26" x14ac:dyDescent="0.35">
      <c r="A15" s="2" t="s">
        <v>576</v>
      </c>
      <c r="B15" s="2">
        <v>14</v>
      </c>
      <c r="C15" s="2">
        <v>108.10801666666666</v>
      </c>
      <c r="D15" s="2">
        <v>27.111161111111112</v>
      </c>
      <c r="E15" s="2">
        <v>925</v>
      </c>
      <c r="F15" s="2">
        <v>76.898483499999998</v>
      </c>
      <c r="G15" s="2">
        <v>0.51670000000000005</v>
      </c>
      <c r="H15" s="2">
        <v>88.675526120000001</v>
      </c>
      <c r="I15" s="2">
        <v>37.976326950000001</v>
      </c>
      <c r="J15" s="2">
        <v>7.94</v>
      </c>
      <c r="K15" s="2">
        <v>28.683523529999999</v>
      </c>
      <c r="L15" s="2">
        <v>2.6250476017776099</v>
      </c>
      <c r="M15" s="2">
        <v>0.51726004116045898</v>
      </c>
      <c r="N15" s="2">
        <v>2.0896235809599699</v>
      </c>
      <c r="O15" s="2">
        <f t="shared" si="0"/>
        <v>10.926858435091351</v>
      </c>
      <c r="P15" s="2">
        <f t="shared" si="1"/>
        <v>55.452811444025883</v>
      </c>
      <c r="Q15" s="2">
        <f t="shared" si="2"/>
        <v>5.0749089295364591</v>
      </c>
      <c r="R15" s="2">
        <v>0.12224197147466</v>
      </c>
      <c r="S15" s="2">
        <v>0</v>
      </c>
      <c r="T15" s="2">
        <v>0.12567961380640599</v>
      </c>
      <c r="U15" s="2">
        <v>0.29324893244206501</v>
      </c>
      <c r="V15" s="2">
        <v>0.40653023809359501</v>
      </c>
      <c r="W15" s="2">
        <v>0.427766921104279</v>
      </c>
      <c r="X15" s="2">
        <v>-0.90469261962394998</v>
      </c>
      <c r="Y15" s="2">
        <v>-0.92926256580084798</v>
      </c>
      <c r="Z15" s="2">
        <v>0.11070120882045301</v>
      </c>
    </row>
    <row r="16" spans="1:26" x14ac:dyDescent="0.35">
      <c r="A16" s="2" t="s">
        <v>576</v>
      </c>
      <c r="B16" s="2">
        <v>15</v>
      </c>
      <c r="C16" s="2">
        <v>108.10841388888889</v>
      </c>
      <c r="D16" s="2">
        <v>27.108111111111114</v>
      </c>
      <c r="E16" s="2">
        <v>940</v>
      </c>
      <c r="F16" s="2">
        <v>67.861153000000002</v>
      </c>
      <c r="G16" s="2">
        <v>0.79059999999999997</v>
      </c>
      <c r="H16" s="2">
        <v>72.708363770000005</v>
      </c>
      <c r="I16" s="2">
        <v>60.279039169999997</v>
      </c>
      <c r="J16" s="2">
        <v>8.02</v>
      </c>
      <c r="K16" s="2">
        <v>16.550458720000002</v>
      </c>
      <c r="L16" s="2">
        <v>1.5755712043654999</v>
      </c>
      <c r="M16" s="2">
        <v>0.64403626107977496</v>
      </c>
      <c r="N16" s="2">
        <v>4.6108481063658298</v>
      </c>
      <c r="O16" s="2">
        <f t="shared" si="0"/>
        <v>10.504418127307078</v>
      </c>
      <c r="P16" s="2">
        <f t="shared" si="1"/>
        <v>25.698023108593173</v>
      </c>
      <c r="Q16" s="2">
        <f t="shared" si="2"/>
        <v>2.4464013900769142</v>
      </c>
      <c r="R16" s="2">
        <v>0.434439007010264</v>
      </c>
      <c r="S16" s="2">
        <v>0.75282929779148799</v>
      </c>
      <c r="T16" s="2">
        <v>0.81131457123198103</v>
      </c>
      <c r="U16" s="2">
        <v>0.51877643917004401</v>
      </c>
      <c r="V16" s="2">
        <v>0.40301015919932398</v>
      </c>
      <c r="W16" s="2">
        <v>0.53322254302713301</v>
      </c>
      <c r="X16" s="2">
        <v>-1.4228108224562001E-2</v>
      </c>
      <c r="Y16" s="2">
        <v>-9.1659132389902795E-2</v>
      </c>
      <c r="Z16" s="2">
        <v>0.56395930686175899</v>
      </c>
    </row>
    <row r="17" spans="1:26" x14ac:dyDescent="0.35">
      <c r="A17" s="2" t="s">
        <v>576</v>
      </c>
      <c r="B17" s="2">
        <v>16</v>
      </c>
      <c r="C17" s="2">
        <v>108.10501944444444</v>
      </c>
      <c r="D17" s="2">
        <v>27.109719444444448</v>
      </c>
      <c r="E17" s="2">
        <v>912</v>
      </c>
      <c r="F17" s="2">
        <v>53.536373750000003</v>
      </c>
      <c r="G17" s="2">
        <v>1.22475</v>
      </c>
      <c r="H17" s="2">
        <v>28.91317402</v>
      </c>
      <c r="I17" s="2">
        <v>14.217571919999999</v>
      </c>
      <c r="J17" s="2">
        <v>7.63</v>
      </c>
      <c r="K17" s="2">
        <v>17.992656060000002</v>
      </c>
      <c r="L17" s="2">
        <v>1.4977236579408899</v>
      </c>
      <c r="M17" s="2">
        <v>0.41459561438694997</v>
      </c>
      <c r="N17" s="2">
        <v>2.9462494985960701</v>
      </c>
      <c r="O17" s="2">
        <f t="shared" si="0"/>
        <v>12.01333501317378</v>
      </c>
      <c r="P17" s="2">
        <f t="shared" si="1"/>
        <v>43.398085835049656</v>
      </c>
      <c r="Q17" s="2">
        <f t="shared" si="2"/>
        <v>3.6124927663683288</v>
      </c>
      <c r="R17" s="2">
        <v>1</v>
      </c>
      <c r="S17" s="2">
        <v>0.85108240115404199</v>
      </c>
      <c r="T17" s="2">
        <v>0.97482637218932799</v>
      </c>
      <c r="U17" s="2">
        <v>0.76605572375222997</v>
      </c>
      <c r="V17" s="2">
        <v>0.76319253257901698</v>
      </c>
      <c r="W17" s="2">
        <v>0.74904364769717502</v>
      </c>
      <c r="X17" s="2">
        <v>0.94105931423976097</v>
      </c>
      <c r="Y17" s="2">
        <v>0.57639152031255103</v>
      </c>
      <c r="Z17" s="2">
        <v>-0.87665654915872104</v>
      </c>
    </row>
    <row r="18" spans="1:26" x14ac:dyDescent="0.35">
      <c r="A18" s="2" t="s">
        <v>576</v>
      </c>
      <c r="B18" s="2">
        <v>17</v>
      </c>
      <c r="C18" s="2">
        <v>108.10801666666666</v>
      </c>
      <c r="D18" s="2">
        <v>27.111161111111112</v>
      </c>
      <c r="E18" s="2">
        <v>925</v>
      </c>
      <c r="F18" s="2">
        <v>54.544370999999998</v>
      </c>
      <c r="G18" s="2">
        <v>1.1941999999999999</v>
      </c>
      <c r="H18" s="2">
        <v>37.707863320000001</v>
      </c>
      <c r="I18" s="2">
        <v>29.083383959999999</v>
      </c>
      <c r="J18" s="2">
        <v>7.8</v>
      </c>
      <c r="K18" s="2">
        <v>14.51260001</v>
      </c>
      <c r="L18" s="2">
        <v>1.45414580418018</v>
      </c>
      <c r="M18" s="2">
        <v>0.56383039274521995</v>
      </c>
      <c r="N18" s="2">
        <v>2.2686537307461498</v>
      </c>
      <c r="O18" s="2">
        <f t="shared" si="0"/>
        <v>9.9801546504354359</v>
      </c>
      <c r="P18" s="2">
        <f t="shared" si="1"/>
        <v>25.739300677531691</v>
      </c>
      <c r="Q18" s="2">
        <f t="shared" si="2"/>
        <v>2.5790482792176657</v>
      </c>
      <c r="R18" s="2">
        <v>0.72188401864198404</v>
      </c>
      <c r="S18" s="2">
        <v>0.67137332901424496</v>
      </c>
      <c r="T18" s="2">
        <v>0.50440595591297299</v>
      </c>
      <c r="U18" s="2">
        <v>0.55368972663375204</v>
      </c>
      <c r="V18" s="2">
        <v>0.59854164409818</v>
      </c>
      <c r="W18" s="2">
        <v>0.39945516145835502</v>
      </c>
      <c r="X18" s="2">
        <v>0.66577468048249999</v>
      </c>
      <c r="Y18" s="2">
        <v>0.37289586765965099</v>
      </c>
      <c r="Z18" s="2">
        <v>-0.84600641221036099</v>
      </c>
    </row>
    <row r="19" spans="1:26" x14ac:dyDescent="0.35">
      <c r="A19" s="2" t="s">
        <v>576</v>
      </c>
      <c r="B19" s="2">
        <v>18</v>
      </c>
      <c r="C19" s="2">
        <v>108.10841388888889</v>
      </c>
      <c r="D19" s="2">
        <v>27.108111111111114</v>
      </c>
      <c r="E19" s="2">
        <v>940</v>
      </c>
      <c r="F19" s="2">
        <v>52.107690249999997</v>
      </c>
      <c r="G19" s="2">
        <v>1.2680499999999999</v>
      </c>
      <c r="H19" s="2">
        <v>31.30565064</v>
      </c>
      <c r="I19" s="2">
        <v>21.955036629999999</v>
      </c>
      <c r="J19" s="2">
        <v>7.68</v>
      </c>
      <c r="K19" s="2">
        <v>14.994320330000001</v>
      </c>
      <c r="L19" s="2">
        <v>1.4420765392342401</v>
      </c>
      <c r="M19" s="2">
        <v>0.44059935948758999</v>
      </c>
      <c r="N19" s="2">
        <v>2.6279023218574902</v>
      </c>
      <c r="O19" s="2">
        <f t="shared" si="0"/>
        <v>10.39772849918366</v>
      </c>
      <c r="P19" s="2">
        <f t="shared" si="1"/>
        <v>34.031643503608713</v>
      </c>
      <c r="Q19" s="2">
        <f t="shared" si="2"/>
        <v>3.2729882787649807</v>
      </c>
      <c r="R19" s="2">
        <v>0.87426219444609998</v>
      </c>
      <c r="S19" s="2">
        <v>0.96409342544241605</v>
      </c>
      <c r="T19" s="2">
        <v>0</v>
      </c>
      <c r="U19" s="2">
        <v>0.63644836552547601</v>
      </c>
      <c r="V19" s="2">
        <v>0.62243928568734097</v>
      </c>
      <c r="W19" s="2">
        <v>0.35347700555580103</v>
      </c>
      <c r="X19" s="2">
        <v>0.84876672071975201</v>
      </c>
      <c r="Y19" s="2">
        <v>0.465551093357359</v>
      </c>
      <c r="Z19" s="2">
        <v>-0.89504135569552101</v>
      </c>
    </row>
    <row r="20" spans="1:26" x14ac:dyDescent="0.35">
      <c r="A20" s="2" t="s">
        <v>577</v>
      </c>
      <c r="B20" s="2">
        <v>19</v>
      </c>
      <c r="C20" s="2">
        <v>108.115725</v>
      </c>
      <c r="D20" s="2">
        <v>27.15113333333333</v>
      </c>
      <c r="E20" s="2">
        <v>991</v>
      </c>
      <c r="F20" s="2">
        <v>57.560113999999999</v>
      </c>
      <c r="G20" s="2">
        <v>1.1028</v>
      </c>
      <c r="H20" s="2">
        <v>36.419838949999999</v>
      </c>
      <c r="I20" s="2">
        <v>35.788447439999999</v>
      </c>
      <c r="J20" s="2">
        <v>6.81</v>
      </c>
      <c r="K20" s="2">
        <v>68.007179640000004</v>
      </c>
      <c r="L20" s="2">
        <v>4.7543516759590299</v>
      </c>
      <c r="M20" s="2">
        <v>0.322462231988281</v>
      </c>
      <c r="N20" s="2">
        <v>3.5652217339193002</v>
      </c>
      <c r="O20" s="2">
        <f t="shared" si="0"/>
        <v>14.304196297444037</v>
      </c>
      <c r="P20" s="2">
        <f t="shared" si="1"/>
        <v>210.89967411275481</v>
      </c>
      <c r="Q20" s="2">
        <f t="shared" si="2"/>
        <v>14.743902399496552</v>
      </c>
      <c r="R20" s="2">
        <v>0.58465506862433403</v>
      </c>
      <c r="S20" s="2">
        <v>0.99269872162626405</v>
      </c>
      <c r="T20" s="2">
        <v>0.74481230223989103</v>
      </c>
      <c r="U20" s="2">
        <v>0.39010139554353102</v>
      </c>
      <c r="V20" s="2">
        <v>0.64265441096656295</v>
      </c>
      <c r="W20" s="2">
        <v>0.51807438195147404</v>
      </c>
      <c r="X20" s="2">
        <v>0.17631599616480301</v>
      </c>
      <c r="Y20" s="2">
        <v>0.115589249307314</v>
      </c>
      <c r="Z20" s="2">
        <v>-7.0231224645980403E-2</v>
      </c>
    </row>
    <row r="21" spans="1:26" x14ac:dyDescent="0.35">
      <c r="A21" s="2" t="s">
        <v>577</v>
      </c>
      <c r="B21" s="2">
        <v>20</v>
      </c>
      <c r="C21" s="2">
        <v>108.12811111111111</v>
      </c>
      <c r="D21" s="2">
        <v>27.163213888888887</v>
      </c>
      <c r="E21" s="2">
        <v>952</v>
      </c>
      <c r="F21" s="2">
        <v>63.941347</v>
      </c>
      <c r="G21" s="2">
        <v>0.90939999999999999</v>
      </c>
      <c r="H21" s="2">
        <v>45.453798769999999</v>
      </c>
      <c r="I21" s="2">
        <v>21.229857729999999</v>
      </c>
      <c r="J21" s="2">
        <v>6.93</v>
      </c>
      <c r="K21" s="2">
        <v>31.344803679999998</v>
      </c>
      <c r="L21" s="2">
        <v>2.3869388572681398</v>
      </c>
      <c r="M21" s="2">
        <v>0.161561704681873</v>
      </c>
      <c r="N21" s="2">
        <v>3.5811324529811901</v>
      </c>
      <c r="O21" s="2">
        <f t="shared" si="0"/>
        <v>13.131799997539208</v>
      </c>
      <c r="P21" s="2">
        <f t="shared" si="1"/>
        <v>194.01134533533329</v>
      </c>
      <c r="Q21" s="2">
        <f t="shared" si="2"/>
        <v>14.774162367054741</v>
      </c>
      <c r="R21" s="2">
        <v>0.46154365567581102</v>
      </c>
      <c r="S21" s="2">
        <v>0.95454545454545503</v>
      </c>
      <c r="T21" s="2">
        <v>0.76024031620837595</v>
      </c>
      <c r="U21" s="2">
        <v>0.33241586316406402</v>
      </c>
      <c r="V21" s="2">
        <v>0.58118236746934304</v>
      </c>
      <c r="W21" s="2">
        <v>0.519992376645112</v>
      </c>
      <c r="X21" s="2">
        <v>6.3976341257434496E-2</v>
      </c>
      <c r="Y21" s="2">
        <v>9.7105884467425602E-2</v>
      </c>
      <c r="Z21" s="2">
        <v>-0.30702063186009299</v>
      </c>
    </row>
    <row r="22" spans="1:26" x14ac:dyDescent="0.35">
      <c r="A22" s="2" t="s">
        <v>577</v>
      </c>
      <c r="B22" s="2">
        <v>21</v>
      </c>
      <c r="C22" s="2">
        <v>108.1074861111111</v>
      </c>
      <c r="D22" s="2">
        <v>27.109655555555555</v>
      </c>
      <c r="E22" s="2">
        <v>1021</v>
      </c>
      <c r="F22" s="2">
        <v>59.110878999999997</v>
      </c>
      <c r="G22" s="2">
        <v>1.0558000000000001</v>
      </c>
      <c r="H22" s="2">
        <v>33.837995030000002</v>
      </c>
      <c r="I22" s="2">
        <v>30.588740560000002</v>
      </c>
      <c r="J22" s="2">
        <v>6.88</v>
      </c>
      <c r="K22" s="2">
        <v>77.958894400000005</v>
      </c>
      <c r="L22" s="2">
        <v>4.6933511568973199</v>
      </c>
      <c r="M22" s="2">
        <v>0.27412540378863398</v>
      </c>
      <c r="N22" s="2">
        <v>2.0588235294117601</v>
      </c>
      <c r="O22" s="2">
        <f t="shared" si="0"/>
        <v>16.61049680577003</v>
      </c>
      <c r="P22" s="2">
        <f t="shared" si="1"/>
        <v>284.39135272596144</v>
      </c>
      <c r="Q22" s="2">
        <f t="shared" si="2"/>
        <v>17.121182831038002</v>
      </c>
      <c r="R22" s="2">
        <v>0.791822229120142</v>
      </c>
      <c r="S22" s="2">
        <v>0.85343686726467305</v>
      </c>
      <c r="T22" s="2">
        <v>0.68246055012667595</v>
      </c>
      <c r="U22" s="2">
        <v>0.69734680465269405</v>
      </c>
      <c r="V22" s="2">
        <v>0.78288455538611301</v>
      </c>
      <c r="W22" s="2">
        <v>0.40944261864569498</v>
      </c>
      <c r="X22" s="2">
        <v>0.59757272669215999</v>
      </c>
      <c r="Y22" s="2">
        <v>0.17134061208784901</v>
      </c>
      <c r="Z22" s="2">
        <v>0.25169741925559003</v>
      </c>
    </row>
    <row r="23" spans="1:26" x14ac:dyDescent="0.35">
      <c r="A23" s="2" t="s">
        <v>577</v>
      </c>
      <c r="B23" s="2">
        <v>22</v>
      </c>
      <c r="C23" s="2">
        <v>108.115725</v>
      </c>
      <c r="D23" s="2">
        <v>27.15113333333333</v>
      </c>
      <c r="E23" s="2">
        <v>991</v>
      </c>
      <c r="F23" s="2">
        <v>57.065188999999997</v>
      </c>
      <c r="G23" s="2">
        <v>1.1177999999999999</v>
      </c>
      <c r="H23" s="2">
        <v>31.307062550000001</v>
      </c>
      <c r="I23" s="2">
        <v>29.580159080000001</v>
      </c>
      <c r="J23" s="2">
        <v>7.3</v>
      </c>
      <c r="K23" s="2">
        <v>70.286241919999995</v>
      </c>
      <c r="L23" s="2">
        <v>4.2670623623908197</v>
      </c>
      <c r="M23" s="2">
        <v>0.396875124875125</v>
      </c>
      <c r="N23" s="2">
        <v>3.78221778221778</v>
      </c>
      <c r="O23" s="2">
        <f t="shared" si="0"/>
        <v>16.471810334784717</v>
      </c>
      <c r="P23" s="2">
        <f t="shared" si="1"/>
        <v>177.09913651583796</v>
      </c>
      <c r="Q23" s="2">
        <f t="shared" si="2"/>
        <v>10.751649813611856</v>
      </c>
      <c r="R23" s="2">
        <v>0.71311633240739403</v>
      </c>
      <c r="S23" s="2">
        <v>0.63089606826317102</v>
      </c>
      <c r="T23" s="2">
        <v>0.84267225735857598</v>
      </c>
      <c r="U23" s="2">
        <v>0.410147372009324</v>
      </c>
      <c r="V23" s="2">
        <v>0.58967598827817802</v>
      </c>
      <c r="W23" s="2">
        <v>0.558909597676575</v>
      </c>
      <c r="X23" s="2">
        <v>0.30094617275532098</v>
      </c>
      <c r="Y23" s="2">
        <v>-6.10074476721474E-2</v>
      </c>
      <c r="Z23" s="2">
        <v>6.0919508040060202E-2</v>
      </c>
    </row>
    <row r="24" spans="1:26" x14ac:dyDescent="0.35">
      <c r="A24" s="2" t="s">
        <v>577</v>
      </c>
      <c r="B24" s="2">
        <v>23</v>
      </c>
      <c r="C24" s="2">
        <v>108.12811111111111</v>
      </c>
      <c r="D24" s="2">
        <v>27.163213888888887</v>
      </c>
      <c r="E24" s="2">
        <v>952</v>
      </c>
      <c r="F24" s="2">
        <v>66.759119999999996</v>
      </c>
      <c r="G24" s="2">
        <v>0.82399999999999995</v>
      </c>
      <c r="H24" s="2">
        <v>53.441451430000001</v>
      </c>
      <c r="I24" s="2">
        <v>25.667457410000001</v>
      </c>
      <c r="J24" s="2">
        <v>7.03</v>
      </c>
      <c r="K24" s="2">
        <v>31.016593400000001</v>
      </c>
      <c r="L24" s="2">
        <v>2.1517701892886998</v>
      </c>
      <c r="M24" s="2">
        <v>0.213473809047905</v>
      </c>
      <c r="N24" s="2">
        <v>3.0867479512292602</v>
      </c>
      <c r="O24" s="2">
        <f t="shared" si="0"/>
        <v>14.414454459122796</v>
      </c>
      <c r="P24" s="2">
        <f t="shared" si="1"/>
        <v>145.29460798181412</v>
      </c>
      <c r="Q24" s="2">
        <f t="shared" si="2"/>
        <v>10.079785426069892</v>
      </c>
      <c r="R24" s="2">
        <v>0.68838291334323298</v>
      </c>
      <c r="S24" s="2">
        <v>0.73373183312745405</v>
      </c>
      <c r="T24" s="2">
        <v>0.563381577045447</v>
      </c>
      <c r="U24" s="2">
        <v>0.48906225588324798</v>
      </c>
      <c r="V24" s="2">
        <v>0.60578969257941595</v>
      </c>
      <c r="W24" s="2">
        <v>0.56675350276274306</v>
      </c>
      <c r="X24" s="2">
        <v>0.35881462854650098</v>
      </c>
      <c r="Y24" s="2">
        <v>0.41577080947193001</v>
      </c>
      <c r="Z24" s="2">
        <v>8.2137074344617506E-2</v>
      </c>
    </row>
    <row r="25" spans="1:26" x14ac:dyDescent="0.35">
      <c r="A25" s="2" t="s">
        <v>577</v>
      </c>
      <c r="B25" s="2">
        <v>24</v>
      </c>
      <c r="C25" s="2">
        <v>108.1074861111111</v>
      </c>
      <c r="D25" s="2">
        <v>27.109655555555555</v>
      </c>
      <c r="E25" s="2">
        <v>1021</v>
      </c>
      <c r="F25" s="2">
        <v>66.508358000000001</v>
      </c>
      <c r="G25" s="2">
        <v>0.83160000000000001</v>
      </c>
      <c r="H25" s="2">
        <v>73.672934119999994</v>
      </c>
      <c r="I25" s="2">
        <v>31.628345759999998</v>
      </c>
      <c r="J25" s="2">
        <v>7.15</v>
      </c>
      <c r="K25" s="2">
        <v>76.053364610000003</v>
      </c>
      <c r="L25" s="2">
        <v>2.7860541069673599</v>
      </c>
      <c r="M25" s="2">
        <v>0.25432850165016502</v>
      </c>
      <c r="N25" s="2">
        <v>2.97821782178218</v>
      </c>
      <c r="O25" s="2">
        <f t="shared" si="0"/>
        <v>27.297877819316525</v>
      </c>
      <c r="P25" s="2">
        <f t="shared" si="1"/>
        <v>299.03594806142979</v>
      </c>
      <c r="Q25" s="2">
        <f t="shared" si="2"/>
        <v>10.954549289169503</v>
      </c>
      <c r="R25" s="2">
        <v>0.72809704552517995</v>
      </c>
      <c r="S25" s="2">
        <v>0.75451237829586804</v>
      </c>
      <c r="T25" s="2">
        <v>0.81251775884508304</v>
      </c>
      <c r="U25" s="2">
        <v>0.59166935889926897</v>
      </c>
      <c r="V25" s="2">
        <v>0.56117972019102902</v>
      </c>
      <c r="W25" s="2">
        <v>0.653773358510502</v>
      </c>
      <c r="X25" s="2">
        <v>0.35549545328274001</v>
      </c>
      <c r="Y25" s="2">
        <v>0.237940712713195</v>
      </c>
      <c r="Z25" s="2">
        <v>6.3703736888733098E-2</v>
      </c>
    </row>
  </sheetData>
  <phoneticPr fontId="2" type="noConversion"/>
  <conditionalFormatting sqref="L2:M25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Trophic group</vt:lpstr>
      <vt:lpstr>Suborder</vt:lpstr>
      <vt:lpstr>Superfamily</vt:lpstr>
      <vt:lpstr>Family</vt:lpstr>
      <vt:lpstr>Genus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猫咪 小</dc:creator>
  <cp:lastModifiedBy>猫咪 小</cp:lastModifiedBy>
  <dcterms:created xsi:type="dcterms:W3CDTF">2024-12-20T07:55:38Z</dcterms:created>
  <dcterms:modified xsi:type="dcterms:W3CDTF">2025-11-15T14:38:24Z</dcterms:modified>
</cp:coreProperties>
</file>